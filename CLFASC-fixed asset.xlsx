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60" windowHeight="8580"/>
  </bookViews>
  <sheets>
    <sheet name="PPE 2025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___________________A100000">#REF!</definedName>
    <definedName name="______________________A1000000">#REF!</definedName>
    <definedName name="______________________A66000">#REF!</definedName>
    <definedName name="______________________A67000">#REF!</definedName>
    <definedName name="______________________A69000">#REF!</definedName>
    <definedName name="______________________A70000">#REF!</definedName>
    <definedName name="_____________________A100000">#REF!</definedName>
    <definedName name="_____________________A1000000">#REF!</definedName>
    <definedName name="_____________________A66000">#REF!</definedName>
    <definedName name="_____________________A67000">#REF!</definedName>
    <definedName name="_____________________A69000">#REF!</definedName>
    <definedName name="_____________________A70000">#REF!</definedName>
    <definedName name="_____________________VAT2">#REF!</definedName>
    <definedName name="____________________A100000">#REF!</definedName>
    <definedName name="____________________A1000000">#REF!</definedName>
    <definedName name="____________________A66000">#REF!</definedName>
    <definedName name="____________________A67000">#REF!</definedName>
    <definedName name="____________________A69000">#REF!</definedName>
    <definedName name="____________________A70000">#REF!</definedName>
    <definedName name="____________________VAT2">#REF!</definedName>
    <definedName name="___________________A100000">#REF!</definedName>
    <definedName name="___________________A1000000">#REF!</definedName>
    <definedName name="___________________A66000">#REF!</definedName>
    <definedName name="___________________A67000">#REF!</definedName>
    <definedName name="___________________A69000">#REF!</definedName>
    <definedName name="___________________A70000">#REF!</definedName>
    <definedName name="___________________VAT2">#REF!</definedName>
    <definedName name="__________________A100000">#REF!</definedName>
    <definedName name="__________________A1000000">#REF!</definedName>
    <definedName name="__________________A66000">#REF!</definedName>
    <definedName name="__________________A67000">#REF!</definedName>
    <definedName name="__________________A69000">#REF!</definedName>
    <definedName name="__________________A70000">#REF!</definedName>
    <definedName name="__________________VAT2">#REF!</definedName>
    <definedName name="_________________A100000">#REF!</definedName>
    <definedName name="_________________A1000000">#REF!</definedName>
    <definedName name="_________________A66000">#REF!</definedName>
    <definedName name="_________________A67000">#REF!</definedName>
    <definedName name="_________________A69000">#REF!</definedName>
    <definedName name="_________________A70000">#REF!</definedName>
    <definedName name="_________________VAT2">#REF!</definedName>
    <definedName name="________________A100000">#REF!</definedName>
    <definedName name="________________A1000000">#REF!</definedName>
    <definedName name="________________A66000">#REF!</definedName>
    <definedName name="________________A67000">#REF!</definedName>
    <definedName name="________________A69000">#REF!</definedName>
    <definedName name="________________A70000">#REF!</definedName>
    <definedName name="________________VAT2">#REF!</definedName>
    <definedName name="_______________A100000">#REF!</definedName>
    <definedName name="_______________A1000000">#REF!</definedName>
    <definedName name="_______________A66000">#REF!</definedName>
    <definedName name="_______________A67000">#REF!</definedName>
    <definedName name="_______________A69000">#REF!</definedName>
    <definedName name="_______________A70000">#REF!</definedName>
    <definedName name="_______________VAT2">#REF!</definedName>
    <definedName name="______________A100000">#REF!</definedName>
    <definedName name="______________A1000000">#REF!</definedName>
    <definedName name="______________A66000">#REF!</definedName>
    <definedName name="______________A67000">#REF!</definedName>
    <definedName name="______________A69000">#REF!</definedName>
    <definedName name="______________A70000">#REF!</definedName>
    <definedName name="______________VAT2">#REF!</definedName>
    <definedName name="_____________A100000">#REF!</definedName>
    <definedName name="_____________A1000000">#REF!</definedName>
    <definedName name="_____________A66000">#REF!</definedName>
    <definedName name="_____________A67000">#REF!</definedName>
    <definedName name="_____________A69000">#REF!</definedName>
    <definedName name="_____________A70000">#REF!</definedName>
    <definedName name="_____________VAT2">#REF!</definedName>
    <definedName name="____________A100000">#REF!</definedName>
    <definedName name="____________A1000000">#REF!</definedName>
    <definedName name="____________A66000">#REF!</definedName>
    <definedName name="____________A67000">#REF!</definedName>
    <definedName name="____________A69000">#REF!</definedName>
    <definedName name="____________A70000">#REF!</definedName>
    <definedName name="____________VAT2">#REF!</definedName>
    <definedName name="___________A100000">#REF!</definedName>
    <definedName name="___________A1000000">#REF!</definedName>
    <definedName name="___________A66000">#REF!</definedName>
    <definedName name="___________A67000">#REF!</definedName>
    <definedName name="___________A69000">#REF!</definedName>
    <definedName name="___________A70000">#REF!</definedName>
    <definedName name="___________VAT2">#REF!</definedName>
    <definedName name="__________A100000">#REF!</definedName>
    <definedName name="__________A100000_11">NA()</definedName>
    <definedName name="__________A100000_14">#REF!</definedName>
    <definedName name="__________A100000_15">#REF!</definedName>
    <definedName name="__________A100000_16">#REF!</definedName>
    <definedName name="__________A100000_19">NA()</definedName>
    <definedName name="__________A100000_20">NA()</definedName>
    <definedName name="__________A100000_21">NA()</definedName>
    <definedName name="__________A100000_5">#REF!</definedName>
    <definedName name="__________A100000_8">#REF!</definedName>
    <definedName name="__________A1000000">#REF!</definedName>
    <definedName name="__________A1000000_11">NA()</definedName>
    <definedName name="__________A1000000_14">#REF!</definedName>
    <definedName name="__________A1000000_15">#REF!</definedName>
    <definedName name="__________A1000000_16">#REF!</definedName>
    <definedName name="__________A1000000_19">NA()</definedName>
    <definedName name="__________A1000000_20">NA()</definedName>
    <definedName name="__________A1000000_21">NA()</definedName>
    <definedName name="__________A1000000_5">#REF!</definedName>
    <definedName name="__________A1000000_8">#REF!</definedName>
    <definedName name="__________A66000">#REF!</definedName>
    <definedName name="__________A66000_11">NA()</definedName>
    <definedName name="__________A66000_14">#REF!</definedName>
    <definedName name="__________A66000_15">#REF!</definedName>
    <definedName name="__________A66000_16">#REF!</definedName>
    <definedName name="__________A66000_19">NA()</definedName>
    <definedName name="__________A66000_20">NA()</definedName>
    <definedName name="__________A66000_21">NA()</definedName>
    <definedName name="__________A66000_5">#REF!</definedName>
    <definedName name="__________A66000_8">#REF!</definedName>
    <definedName name="__________A67000">#REF!</definedName>
    <definedName name="__________A67000_11">NA()</definedName>
    <definedName name="__________A67000_14">#REF!</definedName>
    <definedName name="__________A67000_15">#REF!</definedName>
    <definedName name="__________A67000_16">#REF!</definedName>
    <definedName name="__________A67000_19">NA()</definedName>
    <definedName name="__________A67000_20">NA()</definedName>
    <definedName name="__________A67000_21">NA()</definedName>
    <definedName name="__________A67000_5">#REF!</definedName>
    <definedName name="__________A67000_8">#REF!</definedName>
    <definedName name="__________A69000">#REF!</definedName>
    <definedName name="__________A69000_11">NA()</definedName>
    <definedName name="__________A69000_14">#REF!</definedName>
    <definedName name="__________A69000_15">#REF!</definedName>
    <definedName name="__________A69000_16">#REF!</definedName>
    <definedName name="__________A69000_19">NA()</definedName>
    <definedName name="__________A69000_20">NA()</definedName>
    <definedName name="__________A69000_21">NA()</definedName>
    <definedName name="__________A69000_5">#REF!</definedName>
    <definedName name="__________A69000_8">#REF!</definedName>
    <definedName name="__________A70000">#REF!</definedName>
    <definedName name="__________A70000_11">NA()</definedName>
    <definedName name="__________A70000_14">#REF!</definedName>
    <definedName name="__________A70000_15">#REF!</definedName>
    <definedName name="__________A70000_16">#REF!</definedName>
    <definedName name="__________A70000_19">NA()</definedName>
    <definedName name="__________A70000_20">NA()</definedName>
    <definedName name="__________A70000_21">NA()</definedName>
    <definedName name="__________A70000_5">#REF!</definedName>
    <definedName name="__________A70000_8">#REF!</definedName>
    <definedName name="__________VAT2">#REF!</definedName>
    <definedName name="_________A100000">#REF!</definedName>
    <definedName name="_________A100000_11">NA()</definedName>
    <definedName name="_________A100000_14">#REF!</definedName>
    <definedName name="_________A100000_15">#REF!</definedName>
    <definedName name="_________A100000_16">#REF!</definedName>
    <definedName name="_________A100000_19">NA()</definedName>
    <definedName name="_________A100000_20">NA()</definedName>
    <definedName name="_________A100000_21">NA()</definedName>
    <definedName name="_________A100000_5">#REF!</definedName>
    <definedName name="_________A100000_8">#REF!</definedName>
    <definedName name="_________A1000000">#REF!</definedName>
    <definedName name="_________A1000000_11">NA()</definedName>
    <definedName name="_________A1000000_14">#REF!</definedName>
    <definedName name="_________A1000000_15">#REF!</definedName>
    <definedName name="_________A1000000_16">#REF!</definedName>
    <definedName name="_________A1000000_19">NA()</definedName>
    <definedName name="_________A1000000_20">NA()</definedName>
    <definedName name="_________A1000000_21">NA()</definedName>
    <definedName name="_________A1000000_5">#REF!</definedName>
    <definedName name="_________A1000000_8">#REF!</definedName>
    <definedName name="_________A66000">#REF!</definedName>
    <definedName name="_________A66000_11">NA()</definedName>
    <definedName name="_________A66000_14">#REF!</definedName>
    <definedName name="_________A66000_15">#REF!</definedName>
    <definedName name="_________A66000_16">#REF!</definedName>
    <definedName name="_________A66000_19">NA()</definedName>
    <definedName name="_________A66000_20">NA()</definedName>
    <definedName name="_________A66000_21">NA()</definedName>
    <definedName name="_________A66000_5">#REF!</definedName>
    <definedName name="_________A66000_8">#REF!</definedName>
    <definedName name="_________A67000">#REF!</definedName>
    <definedName name="_________A67000_11">NA()</definedName>
    <definedName name="_________A67000_14">#REF!</definedName>
    <definedName name="_________A67000_15">#REF!</definedName>
    <definedName name="_________A67000_16">#REF!</definedName>
    <definedName name="_________A67000_19">NA()</definedName>
    <definedName name="_________A67000_20">NA()</definedName>
    <definedName name="_________A67000_21">NA()</definedName>
    <definedName name="_________A67000_5">#REF!</definedName>
    <definedName name="_________A67000_8">#REF!</definedName>
    <definedName name="_________A69000">#REF!</definedName>
    <definedName name="_________A69000_11">NA()</definedName>
    <definedName name="_________A69000_14">#REF!</definedName>
    <definedName name="_________A69000_15">#REF!</definedName>
    <definedName name="_________A69000_16">#REF!</definedName>
    <definedName name="_________A69000_19">NA()</definedName>
    <definedName name="_________A69000_20">NA()</definedName>
    <definedName name="_________A69000_21">NA()</definedName>
    <definedName name="_________A69000_5">#REF!</definedName>
    <definedName name="_________A69000_8">#REF!</definedName>
    <definedName name="_________A70000">#REF!</definedName>
    <definedName name="_________A70000_11">NA()</definedName>
    <definedName name="_________A70000_14">#REF!</definedName>
    <definedName name="_________A70000_15">#REF!</definedName>
    <definedName name="_________A70000_16">#REF!</definedName>
    <definedName name="_________A70000_19">NA()</definedName>
    <definedName name="_________A70000_20">NA()</definedName>
    <definedName name="_________A70000_21">NA()</definedName>
    <definedName name="_________A70000_5">#REF!</definedName>
    <definedName name="_________A70000_8">#REF!</definedName>
    <definedName name="_________VAT2">#REF!</definedName>
    <definedName name="_________VAT2_11">NA()</definedName>
    <definedName name="_________VAT2_14">#REF!</definedName>
    <definedName name="_________VAT2_15">#REF!</definedName>
    <definedName name="_________VAT2_16">#REF!</definedName>
    <definedName name="_________VAT2_19">NA()</definedName>
    <definedName name="_________VAT2_20">NA()</definedName>
    <definedName name="_________VAT2_21">NA()</definedName>
    <definedName name="_________VAT2_5">#REF!</definedName>
    <definedName name="_________VAT2_8">#REF!</definedName>
    <definedName name="________A100000">#REF!</definedName>
    <definedName name="________A1000000">#REF!</definedName>
    <definedName name="________A66000">#REF!</definedName>
    <definedName name="________A67000">#REF!</definedName>
    <definedName name="________A69000">#REF!</definedName>
    <definedName name="________A70000">#REF!</definedName>
    <definedName name="________VAT2">#REF!</definedName>
    <definedName name="________VAT2_11">NA()</definedName>
    <definedName name="________VAT2_14">#REF!</definedName>
    <definedName name="________VAT2_15">#REF!</definedName>
    <definedName name="________VAT2_16">#REF!</definedName>
    <definedName name="________VAT2_19">NA()</definedName>
    <definedName name="________VAT2_20">NA()</definedName>
    <definedName name="________VAT2_21">NA()</definedName>
    <definedName name="________VAT2_5">#REF!</definedName>
    <definedName name="________VAT2_8">#REF!</definedName>
    <definedName name="_______A100000">#REF!</definedName>
    <definedName name="_______A100000_11">NA()</definedName>
    <definedName name="_______A100000_14">#REF!</definedName>
    <definedName name="_______A100000_15">#REF!</definedName>
    <definedName name="_______A100000_16">#REF!</definedName>
    <definedName name="_______A100000_19">NA()</definedName>
    <definedName name="_______A100000_20">NA()</definedName>
    <definedName name="_______A100000_21">NA()</definedName>
    <definedName name="_______A100000_5">#REF!</definedName>
    <definedName name="_______A100000_8">#REF!</definedName>
    <definedName name="_______A1000000">#REF!</definedName>
    <definedName name="_______A1000000_11">NA()</definedName>
    <definedName name="_______A1000000_14">#REF!</definedName>
    <definedName name="_______A1000000_15">#REF!</definedName>
    <definedName name="_______A1000000_16">#REF!</definedName>
    <definedName name="_______A1000000_19">NA()</definedName>
    <definedName name="_______A1000000_20">NA()</definedName>
    <definedName name="_______A1000000_21">NA()</definedName>
    <definedName name="_______A1000000_5">#REF!</definedName>
    <definedName name="_______A1000000_8">#REF!</definedName>
    <definedName name="_______A66000">#REF!</definedName>
    <definedName name="_______A66000_11">NA()</definedName>
    <definedName name="_______A66000_14">#REF!</definedName>
    <definedName name="_______A66000_15">#REF!</definedName>
    <definedName name="_______A66000_16">#REF!</definedName>
    <definedName name="_______A66000_19">NA()</definedName>
    <definedName name="_______A66000_20">NA()</definedName>
    <definedName name="_______A66000_21">NA()</definedName>
    <definedName name="_______A66000_5">#REF!</definedName>
    <definedName name="_______A66000_8">#REF!</definedName>
    <definedName name="_______A67000">#REF!</definedName>
    <definedName name="_______A67000_11">NA()</definedName>
    <definedName name="_______A67000_14">#REF!</definedName>
    <definedName name="_______A67000_15">#REF!</definedName>
    <definedName name="_______A67000_16">#REF!</definedName>
    <definedName name="_______A67000_19">NA()</definedName>
    <definedName name="_______A67000_20">NA()</definedName>
    <definedName name="_______A67000_21">NA()</definedName>
    <definedName name="_______A67000_5">#REF!</definedName>
    <definedName name="_______A67000_8">#REF!</definedName>
    <definedName name="_______A69000">#REF!</definedName>
    <definedName name="_______A69000_11">NA()</definedName>
    <definedName name="_______A69000_14">#REF!</definedName>
    <definedName name="_______A69000_15">#REF!</definedName>
    <definedName name="_______A69000_16">#REF!</definedName>
    <definedName name="_______A69000_19">NA()</definedName>
    <definedName name="_______A69000_20">NA()</definedName>
    <definedName name="_______A69000_21">NA()</definedName>
    <definedName name="_______A69000_5">#REF!</definedName>
    <definedName name="_______A69000_8">#REF!</definedName>
    <definedName name="_______A70000">#REF!</definedName>
    <definedName name="_______A70000_11">NA()</definedName>
    <definedName name="_______A70000_14">#REF!</definedName>
    <definedName name="_______A70000_15">#REF!</definedName>
    <definedName name="_______A70000_16">#REF!</definedName>
    <definedName name="_______A70000_19">NA()</definedName>
    <definedName name="_______A70000_20">NA()</definedName>
    <definedName name="_______A70000_21">NA()</definedName>
    <definedName name="_______A70000_5">#REF!</definedName>
    <definedName name="_______A70000_8">#REF!</definedName>
    <definedName name="_______VAT2">#REF!</definedName>
    <definedName name="______A100000">#REF!</definedName>
    <definedName name="______A1000000">#REF!</definedName>
    <definedName name="______A66000">#REF!</definedName>
    <definedName name="______A67000">#REF!</definedName>
    <definedName name="______A69000">#REF!</definedName>
    <definedName name="______A70000">#REF!</definedName>
    <definedName name="______VAT2">#REF!</definedName>
    <definedName name="______VAT2_11">NA()</definedName>
    <definedName name="______VAT2_14">#REF!</definedName>
    <definedName name="______VAT2_15">#REF!</definedName>
    <definedName name="______VAT2_16">#REF!</definedName>
    <definedName name="______VAT2_19">NA()</definedName>
    <definedName name="______VAT2_20">NA()</definedName>
    <definedName name="______VAT2_21">NA()</definedName>
    <definedName name="______VAT2_5">#REF!</definedName>
    <definedName name="______VAT2_8">#REF!</definedName>
    <definedName name="_____A100000">#REF!</definedName>
    <definedName name="_____A100000_11">NA()</definedName>
    <definedName name="_____A100000_14">#REF!</definedName>
    <definedName name="_____A100000_15">#REF!</definedName>
    <definedName name="_____A100000_16">#REF!</definedName>
    <definedName name="_____A100000_19">NA()</definedName>
    <definedName name="_____A100000_20">NA()</definedName>
    <definedName name="_____A100000_21">NA()</definedName>
    <definedName name="_____A100000_5">#REF!</definedName>
    <definedName name="_____A100000_8">#REF!</definedName>
    <definedName name="_____A1000000">#REF!</definedName>
    <definedName name="_____A1000000_11">NA()</definedName>
    <definedName name="_____A1000000_14">#REF!</definedName>
    <definedName name="_____A1000000_15">#REF!</definedName>
    <definedName name="_____A1000000_16">#REF!</definedName>
    <definedName name="_____A1000000_19">NA()</definedName>
    <definedName name="_____A1000000_20">NA()</definedName>
    <definedName name="_____A1000000_21">NA()</definedName>
    <definedName name="_____A1000000_5">#REF!</definedName>
    <definedName name="_____A1000000_8">#REF!</definedName>
    <definedName name="_____A66000">#REF!</definedName>
    <definedName name="_____A66000_11">NA()</definedName>
    <definedName name="_____A66000_14">#REF!</definedName>
    <definedName name="_____A66000_15">#REF!</definedName>
    <definedName name="_____A66000_16">#REF!</definedName>
    <definedName name="_____A66000_19">NA()</definedName>
    <definedName name="_____A66000_20">NA()</definedName>
    <definedName name="_____A66000_21">NA()</definedName>
    <definedName name="_____A66000_5">#REF!</definedName>
    <definedName name="_____A66000_8">#REF!</definedName>
    <definedName name="_____A67000">#REF!</definedName>
    <definedName name="_____A67000_11">NA()</definedName>
    <definedName name="_____A67000_14">#REF!</definedName>
    <definedName name="_____A67000_15">#REF!</definedName>
    <definedName name="_____A67000_16">#REF!</definedName>
    <definedName name="_____A67000_19">NA()</definedName>
    <definedName name="_____A67000_20">NA()</definedName>
    <definedName name="_____A67000_21">NA()</definedName>
    <definedName name="_____A67000_5">#REF!</definedName>
    <definedName name="_____A67000_8">#REF!</definedName>
    <definedName name="_____A69000">#REF!</definedName>
    <definedName name="_____A69000_11">NA()</definedName>
    <definedName name="_____A69000_14">#REF!</definedName>
    <definedName name="_____A69000_15">#REF!</definedName>
    <definedName name="_____A69000_16">#REF!</definedName>
    <definedName name="_____A69000_19">NA()</definedName>
    <definedName name="_____A69000_20">NA()</definedName>
    <definedName name="_____A69000_21">NA()</definedName>
    <definedName name="_____A69000_5">#REF!</definedName>
    <definedName name="_____A69000_8">#REF!</definedName>
    <definedName name="_____A70000">#REF!</definedName>
    <definedName name="_____A70000_11">NA()</definedName>
    <definedName name="_____A70000_14">#REF!</definedName>
    <definedName name="_____A70000_15">#REF!</definedName>
    <definedName name="_____A70000_16">#REF!</definedName>
    <definedName name="_____A70000_19">NA()</definedName>
    <definedName name="_____A70000_20">NA()</definedName>
    <definedName name="_____A70000_21">NA()</definedName>
    <definedName name="_____A70000_5">#REF!</definedName>
    <definedName name="_____A70000_8">#REF!</definedName>
    <definedName name="_____VAT2">#REF!</definedName>
    <definedName name="____A100000">#REF!</definedName>
    <definedName name="____A1000000">#REF!</definedName>
    <definedName name="____A66000">#REF!</definedName>
    <definedName name="____A67000">#REF!</definedName>
    <definedName name="____A69000">#REF!</definedName>
    <definedName name="____A70000">#REF!</definedName>
    <definedName name="____VAT2">#REF!</definedName>
    <definedName name="____VAT2_11">NA()</definedName>
    <definedName name="____VAT2_14">#REF!</definedName>
    <definedName name="____VAT2_15">#REF!</definedName>
    <definedName name="____VAT2_16">#REF!</definedName>
    <definedName name="____VAT2_19">NA()</definedName>
    <definedName name="____VAT2_20">NA()</definedName>
    <definedName name="____VAT2_21">NA()</definedName>
    <definedName name="____VAT2_5">#REF!</definedName>
    <definedName name="____VAT2_8">#REF!</definedName>
    <definedName name="___A100000">#REF!</definedName>
    <definedName name="___A100000_11">NA()</definedName>
    <definedName name="___A100000_14">#REF!</definedName>
    <definedName name="___A100000_15">#REF!</definedName>
    <definedName name="___A100000_16">#REF!</definedName>
    <definedName name="___A100000_19">NA()</definedName>
    <definedName name="___A100000_20">NA()</definedName>
    <definedName name="___A100000_21">NA()</definedName>
    <definedName name="___A100000_5">#REF!</definedName>
    <definedName name="___A100000_8">#REF!</definedName>
    <definedName name="___A1000000">#REF!</definedName>
    <definedName name="___A1000000_11">NA()</definedName>
    <definedName name="___A1000000_14">#REF!</definedName>
    <definedName name="___A1000000_15">#REF!</definedName>
    <definedName name="___A1000000_16">#REF!</definedName>
    <definedName name="___A1000000_19">NA()</definedName>
    <definedName name="___A1000000_20">NA()</definedName>
    <definedName name="___A1000000_21">NA()</definedName>
    <definedName name="___A1000000_5">#REF!</definedName>
    <definedName name="___A1000000_8">#REF!</definedName>
    <definedName name="___A66000">#REF!</definedName>
    <definedName name="___A66000_11">NA()</definedName>
    <definedName name="___A66000_14">#REF!</definedName>
    <definedName name="___A66000_15">#REF!</definedName>
    <definedName name="___A66000_16">#REF!</definedName>
    <definedName name="___A66000_19">NA()</definedName>
    <definedName name="___A66000_20">NA()</definedName>
    <definedName name="___A66000_21">NA()</definedName>
    <definedName name="___A66000_5">#REF!</definedName>
    <definedName name="___A66000_8">#REF!</definedName>
    <definedName name="___A67000">#REF!</definedName>
    <definedName name="___A67000_11">NA()</definedName>
    <definedName name="___A67000_14">#REF!</definedName>
    <definedName name="___A67000_15">#REF!</definedName>
    <definedName name="___A67000_16">#REF!</definedName>
    <definedName name="___A67000_19">NA()</definedName>
    <definedName name="___A67000_20">NA()</definedName>
    <definedName name="___A67000_21">NA()</definedName>
    <definedName name="___A67000_5">#REF!</definedName>
    <definedName name="___A67000_8">#REF!</definedName>
    <definedName name="___A69000">#REF!</definedName>
    <definedName name="___A69000_11">NA()</definedName>
    <definedName name="___A69000_14">#REF!</definedName>
    <definedName name="___A69000_15">#REF!</definedName>
    <definedName name="___A69000_16">#REF!</definedName>
    <definedName name="___A69000_19">NA()</definedName>
    <definedName name="___A69000_20">NA()</definedName>
    <definedName name="___A69000_21">NA()</definedName>
    <definedName name="___A69000_5">#REF!</definedName>
    <definedName name="___A69000_8">#REF!</definedName>
    <definedName name="___A70000">#REF!</definedName>
    <definedName name="___A70000_11">NA()</definedName>
    <definedName name="___A70000_14">#REF!</definedName>
    <definedName name="___A70000_15">#REF!</definedName>
    <definedName name="___A70000_16">#REF!</definedName>
    <definedName name="___A70000_19">NA()</definedName>
    <definedName name="___A70000_20">NA()</definedName>
    <definedName name="___A70000_21">NA()</definedName>
    <definedName name="___A70000_5">#REF!</definedName>
    <definedName name="___A70000_8">#REF!</definedName>
    <definedName name="___VAT2">#REF!</definedName>
    <definedName name="___VAT2_11">NA()</definedName>
    <definedName name="___VAT2_14">#REF!</definedName>
    <definedName name="___VAT2_15">#REF!</definedName>
    <definedName name="___VAT2_16">#REF!</definedName>
    <definedName name="___VAT2_19">NA()</definedName>
    <definedName name="___VAT2_20">NA()</definedName>
    <definedName name="___VAT2_21">NA()</definedName>
    <definedName name="___VAT2_5">#REF!</definedName>
    <definedName name="___VAT2_8">#REF!</definedName>
    <definedName name="__A100000">#REF!</definedName>
    <definedName name="__A1000000">#REF!</definedName>
    <definedName name="__A66000">#REF!</definedName>
    <definedName name="__A67000">#REF!</definedName>
    <definedName name="__A69000">#REF!</definedName>
    <definedName name="__A70000">#REF!</definedName>
    <definedName name="__VAT2">#REF!</definedName>
    <definedName name="_A100000">#REF!</definedName>
    <definedName name="_A100000_11">NA()</definedName>
    <definedName name="_A100000_14">#REF!</definedName>
    <definedName name="_A100000_15">#REF!</definedName>
    <definedName name="_A100000_16">#REF!</definedName>
    <definedName name="_A100000_19">NA()</definedName>
    <definedName name="_A100000_20">NA()</definedName>
    <definedName name="_A100000_21">NA()</definedName>
    <definedName name="_A100000_5">#REF!</definedName>
    <definedName name="_A100000_7">#REF!</definedName>
    <definedName name="_A100000_8">#REF!</definedName>
    <definedName name="_A100000_9">NA()</definedName>
    <definedName name="_A1000000">#REF!</definedName>
    <definedName name="_A1000000_11">NA()</definedName>
    <definedName name="_A1000000_14">#REF!</definedName>
    <definedName name="_A1000000_15">#REF!</definedName>
    <definedName name="_A1000000_16">#REF!</definedName>
    <definedName name="_A1000000_19">NA()</definedName>
    <definedName name="_A1000000_20">NA()</definedName>
    <definedName name="_A1000000_21">NA()</definedName>
    <definedName name="_A1000000_5">#REF!</definedName>
    <definedName name="_A1000000_7">#REF!</definedName>
    <definedName name="_A1000000_8">#REF!</definedName>
    <definedName name="_A1000000_9">NA()</definedName>
    <definedName name="_A66000">#REF!</definedName>
    <definedName name="_A66000_11">NA()</definedName>
    <definedName name="_A66000_14">#REF!</definedName>
    <definedName name="_A66000_15">#REF!</definedName>
    <definedName name="_A66000_16">#REF!</definedName>
    <definedName name="_A66000_19">NA()</definedName>
    <definedName name="_A66000_20">NA()</definedName>
    <definedName name="_A66000_21">NA()</definedName>
    <definedName name="_A66000_5">#REF!</definedName>
    <definedName name="_A66000_7">#REF!</definedName>
    <definedName name="_A66000_8">#REF!</definedName>
    <definedName name="_A66000_9">NA()</definedName>
    <definedName name="_A67000">#REF!</definedName>
    <definedName name="_A67000_11">NA()</definedName>
    <definedName name="_A67000_14">#REF!</definedName>
    <definedName name="_A67000_15">#REF!</definedName>
    <definedName name="_A67000_16">#REF!</definedName>
    <definedName name="_A67000_19">NA()</definedName>
    <definedName name="_A67000_20">NA()</definedName>
    <definedName name="_A67000_21">NA()</definedName>
    <definedName name="_A67000_5">#REF!</definedName>
    <definedName name="_A67000_7">#REF!</definedName>
    <definedName name="_A67000_8">#REF!</definedName>
    <definedName name="_A67000_9">NA()</definedName>
    <definedName name="_A69000">#REF!</definedName>
    <definedName name="_A69000_11">NA()</definedName>
    <definedName name="_A69000_14">#REF!</definedName>
    <definedName name="_A69000_15">#REF!</definedName>
    <definedName name="_A69000_16">#REF!</definedName>
    <definedName name="_A69000_19">NA()</definedName>
    <definedName name="_A69000_20">NA()</definedName>
    <definedName name="_A69000_21">NA()</definedName>
    <definedName name="_A69000_5">#REF!</definedName>
    <definedName name="_A69000_7">#REF!</definedName>
    <definedName name="_A69000_8">#REF!</definedName>
    <definedName name="_A69000_9">NA()</definedName>
    <definedName name="_A70000">#REF!</definedName>
    <definedName name="_A70000_11">NA()</definedName>
    <definedName name="_A70000_14">#REF!</definedName>
    <definedName name="_A70000_15">#REF!</definedName>
    <definedName name="_A70000_16">#REF!</definedName>
    <definedName name="_A70000_19">NA()</definedName>
    <definedName name="_A70000_20">NA()</definedName>
    <definedName name="_A70000_21">NA()</definedName>
    <definedName name="_A70000_5">#REF!</definedName>
    <definedName name="_A70000_7">#REF!</definedName>
    <definedName name="_A70000_8">#REF!</definedName>
    <definedName name="_A70000_9">NA()</definedName>
    <definedName name="_VAT2">#REF!</definedName>
    <definedName name="_VAT2_11">NA()</definedName>
    <definedName name="_VAT2_14">#REF!</definedName>
    <definedName name="_VAT2_15">#REF!</definedName>
    <definedName name="_VAT2_16">#REF!</definedName>
    <definedName name="_VAT2_19">NA()</definedName>
    <definedName name="_VAT2_20">NA()</definedName>
    <definedName name="_VAT2_21">NA()</definedName>
    <definedName name="_VAT2_5">#REF!</definedName>
    <definedName name="_VAT2_7">#REF!</definedName>
    <definedName name="_VAT2_8">#REF!</definedName>
    <definedName name="_VAT2_9">NA()</definedName>
    <definedName name="A100000_19">NA()</definedName>
    <definedName name="A1000000_19">NA()</definedName>
    <definedName name="A66000_19">NA()</definedName>
    <definedName name="A67000_19">NA()</definedName>
    <definedName name="A69000_19">NA()</definedName>
    <definedName name="A70000_19">NA()</definedName>
    <definedName name="afafa">#REF!</definedName>
    <definedName name="AY">#REF!</definedName>
    <definedName name="AY_11">NA()</definedName>
    <definedName name="AY_14">#REF!</definedName>
    <definedName name="AY_15">#REF!</definedName>
    <definedName name="AY_16">#REF!</definedName>
    <definedName name="AY_19">NA()</definedName>
    <definedName name="AY_20">NA()</definedName>
    <definedName name="AY_21">NA()</definedName>
    <definedName name="AY_5">#REF!</definedName>
    <definedName name="AY_8">#REF!</definedName>
    <definedName name="BELLE">#REF!</definedName>
    <definedName name="chart">[2]chart!$A$7:$E$250</definedName>
    <definedName name="Client_List">'[3]sum-OUTPUT'!$A$87:$C$261</definedName>
    <definedName name="Cust_Address">[4]!CMD[[CUSTOMER NAME]:[ADDRESS]]</definedName>
    <definedName name="Cust_N">[4]!CMD[CUSTOMER NAME]</definedName>
    <definedName name="DASFSDJKLF">#REF!</definedName>
    <definedName name="december">#REF!</definedName>
    <definedName name="DJFLSDF">#REF!</definedName>
    <definedName name="DKFJSD">#REF!</definedName>
    <definedName name="DKLFJKLASDJFSD">#REF!</definedName>
    <definedName name="DSFS">#REF!</definedName>
    <definedName name="GGG">#REF!</definedName>
    <definedName name="GOOPOKOJ">#REF!</definedName>
    <definedName name="JELO">#REF!</definedName>
    <definedName name="JOBELLE">#REF!</definedName>
    <definedName name="john">#REF!</definedName>
    <definedName name="john_19">NA()</definedName>
    <definedName name="JOJO">#REF!</definedName>
    <definedName name="JOJO_11">NA()</definedName>
    <definedName name="JOJO_14">NA()</definedName>
    <definedName name="JOJO_15">NA()</definedName>
    <definedName name="JOJO_16">NA()</definedName>
    <definedName name="jojo_19">NA()</definedName>
    <definedName name="JOJO_20">NA()</definedName>
    <definedName name="JOJO_21">NA()</definedName>
    <definedName name="JOJO_5">NA()</definedName>
    <definedName name="JOJO_8">NA()</definedName>
    <definedName name="KK">#REF!</definedName>
    <definedName name="KLDFJKLSD">#REF!</definedName>
    <definedName name="KNFKS">#REF!</definedName>
    <definedName name="KOKO">#REF!</definedName>
    <definedName name="LL">#REF!</definedName>
    <definedName name="LLL">#REF!</definedName>
    <definedName name="LOVE">#REF!</definedName>
    <definedName name="OLAN">#REF!</definedName>
    <definedName name="payee_list">[5]apr06!$A$1:$D$177</definedName>
    <definedName name="POLO">#REF!</definedName>
    <definedName name="RODE">#REF!</definedName>
    <definedName name="SABAL">#REF!</definedName>
    <definedName name="Salesperson">[4]!SP[Name]</definedName>
    <definedName name="SI_Date">#REF!</definedName>
    <definedName name="Summ">[4]!Summary[[MATERIAL CODE]:[VAR Value]]</definedName>
    <definedName name="Tbl_Material_SRP">[4]!Pricelist[[C4]:[C16]]</definedName>
    <definedName name="VAT2_19">NA()</definedName>
    <definedName name="Y">#REF!</definedName>
    <definedName name="Y_11">NA()</definedName>
    <definedName name="Y_14">NA()</definedName>
    <definedName name="Y_15">NA()</definedName>
    <definedName name="Y_16">NA()</definedName>
    <definedName name="Y_19">NA()</definedName>
    <definedName name="Y_20">NA()</definedName>
    <definedName name="Y_21">NA()</definedName>
    <definedName name="Y_5">NA()</definedName>
    <definedName name="Y_8">NA()</definedName>
    <definedName name="zafire">#REF!</definedName>
    <definedName name="zafire_11">NA()</definedName>
    <definedName name="zafire_14">NA()</definedName>
    <definedName name="zafire_15">NA()</definedName>
    <definedName name="zafire_16">NA()</definedName>
    <definedName name="zafire_19">NA()</definedName>
    <definedName name="zafire_20">NA()</definedName>
    <definedName name="zafire_21">NA()</definedName>
    <definedName name="zafire_5">NA()</definedName>
    <definedName name="zafire_8">NA()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3" i="1" l="1"/>
  <c r="X43" i="1"/>
  <c r="Z43" i="1" s="1"/>
  <c r="X42" i="1"/>
  <c r="X45" i="1" s="1"/>
  <c r="Z34" i="1"/>
  <c r="X34" i="1"/>
  <c r="Y34" i="1" s="1"/>
  <c r="Y33" i="1"/>
  <c r="X33" i="1"/>
  <c r="Z33" i="1" s="1"/>
  <c r="X32" i="1"/>
  <c r="Z32" i="1" s="1"/>
  <c r="Z31" i="1"/>
  <c r="Y31" i="1"/>
  <c r="X31" i="1"/>
  <c r="X36" i="1" s="1"/>
  <c r="Z26" i="1"/>
  <c r="Y26" i="1"/>
  <c r="X26" i="1"/>
  <c r="Z24" i="1"/>
  <c r="Z18" i="1"/>
  <c r="Y18" i="1"/>
  <c r="X18" i="1"/>
  <c r="Z16" i="1"/>
  <c r="Y10" i="1"/>
  <c r="X10" i="1"/>
  <c r="Z8" i="1"/>
  <c r="Z7" i="1"/>
  <c r="Z10" i="1" s="1"/>
  <c r="K51" i="1"/>
  <c r="J51" i="1"/>
  <c r="H51" i="1"/>
  <c r="R45" i="1"/>
  <c r="Q45" i="1"/>
  <c r="O45" i="1"/>
  <c r="N45" i="1"/>
  <c r="M45" i="1"/>
  <c r="L45" i="1"/>
  <c r="F45" i="1"/>
  <c r="E45" i="1"/>
  <c r="U43" i="1"/>
  <c r="V43" i="1" s="1"/>
  <c r="T43" i="1"/>
  <c r="T45" i="1" s="1"/>
  <c r="Q43" i="1"/>
  <c r="I43" i="1"/>
  <c r="G43" i="1"/>
  <c r="W43" i="1" s="1"/>
  <c r="S42" i="1"/>
  <c r="S45" i="1" s="1"/>
  <c r="P42" i="1"/>
  <c r="P45" i="1" s="1"/>
  <c r="M42" i="1"/>
  <c r="I42" i="1"/>
  <c r="I45" i="1" s="1"/>
  <c r="G42" i="1"/>
  <c r="F36" i="1"/>
  <c r="E36" i="1"/>
  <c r="U34" i="1"/>
  <c r="R34" i="1"/>
  <c r="M34" i="1"/>
  <c r="L34" i="1"/>
  <c r="I34" i="1"/>
  <c r="O34" i="1" s="1"/>
  <c r="G34" i="1"/>
  <c r="G36" i="1" s="1"/>
  <c r="I33" i="1"/>
  <c r="R33" i="1" s="1"/>
  <c r="R36" i="1" s="1"/>
  <c r="G33" i="1"/>
  <c r="S32" i="1"/>
  <c r="P32" i="1"/>
  <c r="M32" i="1"/>
  <c r="I32" i="1"/>
  <c r="U32" i="1" s="1"/>
  <c r="V32" i="1" s="1"/>
  <c r="G32" i="1"/>
  <c r="W32" i="1" s="1"/>
  <c r="U31" i="1"/>
  <c r="Q31" i="1"/>
  <c r="T31" i="1" s="1"/>
  <c r="P31" i="1"/>
  <c r="M31" i="1"/>
  <c r="I31" i="1"/>
  <c r="G31" i="1"/>
  <c r="W31" i="1" s="1"/>
  <c r="V26" i="1"/>
  <c r="U26" i="1"/>
  <c r="S26" i="1"/>
  <c r="R26" i="1"/>
  <c r="P26" i="1"/>
  <c r="O26" i="1"/>
  <c r="M26" i="1"/>
  <c r="L26" i="1"/>
  <c r="I26" i="1"/>
  <c r="F26" i="1"/>
  <c r="E26" i="1"/>
  <c r="N24" i="1"/>
  <c r="N26" i="1" s="1"/>
  <c r="G24" i="1"/>
  <c r="G26" i="1" s="1"/>
  <c r="V18" i="1"/>
  <c r="U18" i="1"/>
  <c r="S18" i="1"/>
  <c r="R18" i="1"/>
  <c r="P18" i="1"/>
  <c r="O18" i="1"/>
  <c r="M18" i="1"/>
  <c r="L18" i="1"/>
  <c r="AB18" i="1" s="1"/>
  <c r="I18" i="1"/>
  <c r="G18" i="1"/>
  <c r="F18" i="1"/>
  <c r="E18" i="1"/>
  <c r="G16" i="1"/>
  <c r="N16" i="1" s="1"/>
  <c r="V10" i="1"/>
  <c r="U10" i="1"/>
  <c r="S10" i="1"/>
  <c r="R10" i="1"/>
  <c r="R51" i="1" s="1"/>
  <c r="P10" i="1"/>
  <c r="O10" i="1"/>
  <c r="M10" i="1"/>
  <c r="L10" i="1"/>
  <c r="I10" i="1"/>
  <c r="F10" i="1"/>
  <c r="E10" i="1"/>
  <c r="N8" i="1"/>
  <c r="Q8" i="1" s="1"/>
  <c r="T8" i="1" s="1"/>
  <c r="W8" i="1" s="1"/>
  <c r="G8" i="1"/>
  <c r="Q7" i="1"/>
  <c r="N7" i="1"/>
  <c r="N10" i="1" s="1"/>
  <c r="G7" i="1"/>
  <c r="G10" i="1" s="1"/>
  <c r="X51" i="1" l="1"/>
  <c r="Z36" i="1"/>
  <c r="Z51" i="1" s="1"/>
  <c r="Y32" i="1"/>
  <c r="Y36" i="1" s="1"/>
  <c r="Y51" i="1" s="1"/>
  <c r="Y42" i="1"/>
  <c r="Y45" i="1" s="1"/>
  <c r="AB26" i="1"/>
  <c r="Z42" i="1"/>
  <c r="Z45" i="1" s="1"/>
  <c r="P34" i="1"/>
  <c r="S34" i="1" s="1"/>
  <c r="V34" i="1" s="1"/>
  <c r="Q16" i="1"/>
  <c r="N18" i="1"/>
  <c r="Q10" i="1"/>
  <c r="AB10" i="1"/>
  <c r="O33" i="1"/>
  <c r="O36" i="1" s="1"/>
  <c r="O51" i="1" s="1"/>
  <c r="Q24" i="1"/>
  <c r="L33" i="1"/>
  <c r="N34" i="1"/>
  <c r="Q34" i="1" s="1"/>
  <c r="T34" i="1" s="1"/>
  <c r="W34" i="1" s="1"/>
  <c r="U42" i="1"/>
  <c r="U45" i="1" s="1"/>
  <c r="AB45" i="1" s="1"/>
  <c r="G45" i="1"/>
  <c r="G51" i="1" s="1"/>
  <c r="S31" i="1"/>
  <c r="U33" i="1"/>
  <c r="U36" i="1" s="1"/>
  <c r="U51" i="1" s="1"/>
  <c r="I36" i="1"/>
  <c r="I51" i="1" s="1"/>
  <c r="V42" i="1"/>
  <c r="V45" i="1" s="1"/>
  <c r="T7" i="1"/>
  <c r="T10" i="1" l="1"/>
  <c r="W7" i="1"/>
  <c r="W10" i="1" s="1"/>
  <c r="V31" i="1"/>
  <c r="L36" i="1"/>
  <c r="M33" i="1"/>
  <c r="T24" i="1"/>
  <c r="Q26" i="1"/>
  <c r="W42" i="1"/>
  <c r="W45" i="1" s="1"/>
  <c r="Q18" i="1"/>
  <c r="T16" i="1"/>
  <c r="N33" i="1"/>
  <c r="P33" i="1" l="1"/>
  <c r="M36" i="1"/>
  <c r="M51" i="1" s="1"/>
  <c r="Q33" i="1"/>
  <c r="N36" i="1"/>
  <c r="N51" i="1" s="1"/>
  <c r="AB36" i="1"/>
  <c r="AB51" i="1" s="1"/>
  <c r="L51" i="1"/>
  <c r="T18" i="1"/>
  <c r="W16" i="1"/>
  <c r="W18" i="1" s="1"/>
  <c r="W24" i="1"/>
  <c r="W26" i="1" s="1"/>
  <c r="T26" i="1"/>
  <c r="S33" i="1" l="1"/>
  <c r="P36" i="1"/>
  <c r="P51" i="1" s="1"/>
  <c r="Q36" i="1"/>
  <c r="Q51" i="1" s="1"/>
  <c r="T33" i="1"/>
  <c r="W33" i="1" l="1"/>
  <c r="W36" i="1" s="1"/>
  <c r="W51" i="1" s="1"/>
  <c r="T36" i="1"/>
  <c r="T51" i="1" s="1"/>
  <c r="V33" i="1"/>
  <c r="V36" i="1" s="1"/>
  <c r="V51" i="1" s="1"/>
  <c r="S36" i="1"/>
  <c r="S51" i="1" s="1"/>
</calcChain>
</file>

<file path=xl/sharedStrings.xml><?xml version="1.0" encoding="utf-8"?>
<sst xmlns="http://schemas.openxmlformats.org/spreadsheetml/2006/main" count="238" uniqueCount="45">
  <si>
    <t>Schedule of PPE</t>
  </si>
  <si>
    <t>QTY.</t>
  </si>
  <si>
    <t>UNIT OF MEASURE</t>
  </si>
  <si>
    <t>PARTICULARS/DESCIPTION</t>
  </si>
  <si>
    <t>Date</t>
  </si>
  <si>
    <t>UNIT COST</t>
  </si>
  <si>
    <t>VAT INPUT</t>
  </si>
  <si>
    <t>AMOUNT</t>
  </si>
  <si>
    <t>USEFUL LIFE</t>
  </si>
  <si>
    <t>MONTHLY</t>
  </si>
  <si>
    <t>JAN TO MARCH 2025</t>
  </si>
  <si>
    <t>ACCUMULATED</t>
  </si>
  <si>
    <t>NET BOOK VALUE</t>
  </si>
  <si>
    <t>APRIL TO JUNE 2025</t>
  </si>
  <si>
    <t>JULY TO SEPTEMBER 2025</t>
  </si>
  <si>
    <t>OCTOBER TO DECEMBER 2025</t>
  </si>
  <si>
    <t>of Purchase</t>
  </si>
  <si>
    <t>MONTHS</t>
  </si>
  <si>
    <t>DEPRECIATION</t>
  </si>
  <si>
    <t>As of MARCH 2025</t>
  </si>
  <si>
    <t>As of JUNE 2025</t>
  </si>
  <si>
    <t>As of SEPTEMBER 2025</t>
  </si>
  <si>
    <t>As of DECEMBER 2025</t>
  </si>
  <si>
    <t>LAND</t>
  </si>
  <si>
    <t xml:space="preserve">LAND - CAINTA </t>
  </si>
  <si>
    <t>COMMERCIAL LAND - HYRESVARD</t>
  </si>
  <si>
    <t>TOTAL</t>
  </si>
  <si>
    <t xml:space="preserve">BUILDING </t>
  </si>
  <si>
    <t>COMMERCIAL BUILDING - HYRESVARD</t>
  </si>
  <si>
    <t>CONSTRUCTION IN PROGRESS - BUILDING</t>
  </si>
  <si>
    <t>BUILDING EQUIPMENT</t>
  </si>
  <si>
    <t>STAINLESS WATER TANK</t>
  </si>
  <si>
    <t>September 17, 2025</t>
  </si>
  <si>
    <t>SOLAR</t>
  </si>
  <si>
    <t>November 20, 2025</t>
  </si>
  <si>
    <t>MAKITA DEMOLITION JAMMER</t>
  </si>
  <si>
    <t>December 31, 2024</t>
  </si>
  <si>
    <t>MIXER</t>
  </si>
  <si>
    <t xml:space="preserve">FURNTURE AND FIXTURES </t>
  </si>
  <si>
    <t>CCTV</t>
  </si>
  <si>
    <t>AIRCON AND INSTALL AIRCONDITIONING UNITS</t>
  </si>
  <si>
    <t>November 17, 2025</t>
  </si>
  <si>
    <t>GRAND TOTAL</t>
  </si>
  <si>
    <t>JANUARY TO MARCH 2026</t>
  </si>
  <si>
    <t>As of MARCH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</si>
</sst>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u/>
      <sz val="11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1" fillId="0" borderId="0" xfId="1"/>
    <xf numFmtId="43" fontId="2" fillId="0" borderId="0" xfId="1" applyNumberFormat="1" applyFont="1"/>
    <xf numFmtId="0" fontId="3" fillId="0" borderId="0" xfId="1" applyFont="1" applyAlignment="1">
      <alignment horizontal="center"/>
    </xf>
    <xf numFmtId="0" fontId="2" fillId="0" borderId="0" xfId="1" quotePrefix="1" applyFont="1"/>
    <xf numFmtId="164" fontId="3" fillId="0" borderId="0" xfId="1" applyNumberFormat="1" applyFont="1" applyAlignment="1">
      <alignment horizontal="center"/>
    </xf>
    <xf numFmtId="164" fontId="2" fillId="0" borderId="0" xfId="1" applyNumberFormat="1" applyFont="1"/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43" fontId="4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/>
    </xf>
    <xf numFmtId="43" fontId="5" fillId="0" borderId="0" xfId="1" applyNumberFormat="1" applyFont="1"/>
    <xf numFmtId="43" fontId="5" fillId="0" borderId="0" xfId="1" quotePrefix="1" applyNumberFormat="1" applyFont="1" applyAlignment="1">
      <alignment horizontal="center"/>
    </xf>
    <xf numFmtId="43" fontId="5" fillId="0" borderId="0" xfId="1" applyNumberFormat="1" applyFont="1" applyAlignment="1">
      <alignment horizontal="center"/>
    </xf>
    <xf numFmtId="43" fontId="5" fillId="0" borderId="0" xfId="1" applyNumberFormat="1" applyFont="1" applyAlignment="1">
      <alignment horizontal="left"/>
    </xf>
    <xf numFmtId="0" fontId="1" fillId="0" borderId="0" xfId="1"/>
    <xf numFmtId="0" fontId="2" fillId="2" borderId="0" xfId="1" applyFont="1" applyFill="1"/>
    <xf numFmtId="0" fontId="2" fillId="2" borderId="0" xfId="1" applyFont="1" applyFill="1" applyAlignment="1">
      <alignment horizontal="center"/>
    </xf>
    <xf numFmtId="43" fontId="2" fillId="2" borderId="0" xfId="1" applyNumberFormat="1" applyFont="1" applyFill="1"/>
    <xf numFmtId="0" fontId="1" fillId="3" borderId="0" xfId="1" applyFill="1"/>
    <xf numFmtId="0" fontId="6" fillId="0" borderId="0" xfId="1" applyFont="1"/>
    <xf numFmtId="0" fontId="6" fillId="0" borderId="0" xfId="1" applyFont="1" applyAlignment="1">
      <alignment horizontal="center"/>
    </xf>
    <xf numFmtId="43" fontId="2" fillId="0" borderId="1" xfId="1" applyNumberFormat="1" applyFont="1" applyBorder="1"/>
    <xf numFmtId="0" fontId="2" fillId="0" borderId="1" xfId="1" applyFont="1" applyBorder="1" applyAlignment="1">
      <alignment horizontal="left"/>
    </xf>
    <xf numFmtId="0" fontId="7" fillId="0" borderId="1" xfId="1" quotePrefix="1" applyFont="1" applyBorder="1" applyAlignment="1">
      <alignment horizontal="left"/>
    </xf>
    <xf numFmtId="0" fontId="2" fillId="0" borderId="2" xfId="1" applyFont="1" applyBorder="1" applyAlignment="1">
      <alignment horizontal="center"/>
    </xf>
    <xf numFmtId="43" fontId="2" fillId="0" borderId="2" xfId="1" applyNumberFormat="1" applyFont="1" applyBorder="1"/>
    <xf numFmtId="0" fontId="7" fillId="0" borderId="1" xfId="1" applyFont="1" applyBorder="1" applyAlignment="1">
      <alignment horizontal="center"/>
    </xf>
    <xf numFmtId="0" fontId="4" fillId="0" borderId="3" xfId="1" applyFont="1" applyBorder="1"/>
    <xf numFmtId="0" fontId="4" fillId="0" borderId="3" xfId="1" applyFont="1" applyBorder="1" applyAlignment="1">
      <alignment horizontal="center"/>
    </xf>
    <xf numFmtId="43" fontId="4" fillId="0" borderId="3" xfId="1" applyNumberFormat="1" applyFont="1" applyBorder="1"/>
    <xf numFmtId="43" fontId="4" fillId="4" borderId="3" xfId="1" applyNumberFormat="1" applyFont="1" applyFill="1" applyBorder="1"/>
    <xf numFmtId="0" fontId="4" fillId="0" borderId="0" xfId="1" applyFont="1"/>
    <xf numFmtId="0" fontId="4" fillId="0" borderId="0" xfId="1" applyFont="1" applyAlignment="1">
      <alignment horizontal="center"/>
    </xf>
    <xf numFmtId="43" fontId="4" fillId="0" borderId="0" xfId="1" applyNumberFormat="1" applyFont="1"/>
    <xf numFmtId="43" fontId="2" fillId="0" borderId="0" xfId="1" applyNumberFormat="1" applyFont="1" applyAlignment="1">
      <alignment horizontal="center"/>
    </xf>
    <xf numFmtId="43" fontId="4" fillId="4" borderId="0" xfId="1" applyNumberFormat="1" applyFont="1" applyFill="1"/>
    <xf numFmtId="15" fontId="7" fillId="0" borderId="1" xfId="1" quotePrefix="1" applyNumberFormat="1" applyFont="1" applyBorder="1" applyAlignment="1">
      <alignment horizontal="left"/>
    </xf>
    <xf numFmtId="43" fontId="4" fillId="5" borderId="3" xfId="1" applyNumberFormat="1" applyFont="1" applyFill="1" applyBorder="1"/>
    <xf numFmtId="0" fontId="4" fillId="6" borderId="4" xfId="1" applyFont="1" applyFill="1" applyBorder="1"/>
    <xf numFmtId="0" fontId="4" fillId="6" borderId="4" xfId="1" applyFont="1" applyFill="1" applyBorder="1" applyAlignment="1">
      <alignment horizontal="center"/>
    </xf>
    <xf numFmtId="43" fontId="4" fillId="6" borderId="4" xfId="1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CARIGARA%20LEISURE%20FARM%20TB%202025%2004.25.2026%20R3-JDG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nMe/nnair/checkvoucher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8\Public\Documents%20and%20Settings\Rex\Desktop\backup%20files\versa%20group%20phils%20corp\sales%20&amp;%20purchases\VAT%20Rec.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ventorymonitoringbadstocksjune132023\July\RFM%20Corporation_Calbayog%20-%20Jul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8\Public\Documents%20and%20Settings\Administrator\Desktop\thea\THEA'S%20BOOK\2006%20BOOKS\THEA'S%20BOOK\2005_CHECK%20DISBURSEMENT%20BOO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of Account"/>
      <sheetName val="JAN WS"/>
      <sheetName val="JAN JV"/>
      <sheetName val="FEB WS"/>
      <sheetName val="FEB JV"/>
      <sheetName val="MARCH WS"/>
      <sheetName val="MARCH JV"/>
      <sheetName val="APRIL WS"/>
      <sheetName val="APRIL JV"/>
      <sheetName val="MAY WS"/>
      <sheetName val="MAY JV"/>
      <sheetName val="JUNE WS"/>
      <sheetName val="JUNE JV"/>
      <sheetName val="JULY WS"/>
      <sheetName val="JULY JV"/>
      <sheetName val="AUGUST WS"/>
      <sheetName val="AUGUST JV"/>
      <sheetName val="SEPTEMBER WS"/>
      <sheetName val="SEPTEMBER JV"/>
      <sheetName val="OCTOBER WS"/>
      <sheetName val="OCTOBER JV"/>
      <sheetName val="NOVEMBER WS"/>
      <sheetName val="NOVEMBER JV"/>
      <sheetName val="DECEMBER WS"/>
      <sheetName val="DECEMBER JV"/>
      <sheetName val="TB 2025"/>
      <sheetName val="ITRQ 2025"/>
      <sheetName val="PPE 2025"/>
      <sheetName val="TAXES AND LIC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"/>
      <sheetName val="list"/>
      <sheetName val="payee_list"/>
      <sheetName val="chart"/>
      <sheetName val="vehicle"/>
      <sheetName val="tel_light"/>
      <sheetName val="cv (2)"/>
      <sheetName val="la riche"/>
      <sheetName val="with"/>
    </sheetNames>
    <sheetDataSet>
      <sheetData sheetId="0" refreshError="1"/>
      <sheetData sheetId="1" refreshError="1"/>
      <sheetData sheetId="2" refreshError="1"/>
      <sheetData sheetId="3" refreshError="1">
        <row r="7">
          <cell r="A7">
            <v>10000</v>
          </cell>
          <cell r="B7" t="str">
            <v>Asset</v>
          </cell>
          <cell r="C7" t="str">
            <v>debit</v>
          </cell>
          <cell r="D7" t="str">
            <v>header</v>
          </cell>
          <cell r="E7" t="str">
            <v>assets</v>
          </cell>
        </row>
        <row r="8">
          <cell r="A8">
            <v>11000</v>
          </cell>
          <cell r="B8" t="str">
            <v>Current Assets</v>
          </cell>
          <cell r="C8" t="str">
            <v>debit</v>
          </cell>
          <cell r="D8" t="str">
            <v>header</v>
          </cell>
          <cell r="E8" t="str">
            <v>assets</v>
          </cell>
        </row>
        <row r="9">
          <cell r="A9">
            <v>11100</v>
          </cell>
          <cell r="B9" t="str">
            <v>Cash on Hand &amp; In Banks</v>
          </cell>
          <cell r="C9" t="str">
            <v>debit</v>
          </cell>
          <cell r="D9" t="str">
            <v>header</v>
          </cell>
          <cell r="E9" t="str">
            <v>assets</v>
          </cell>
        </row>
        <row r="10">
          <cell r="A10">
            <v>11101</v>
          </cell>
          <cell r="B10" t="str">
            <v>Cash In Bank-Peso MBTC</v>
          </cell>
          <cell r="C10" t="str">
            <v>debit</v>
          </cell>
          <cell r="D10" t="str">
            <v>detail</v>
          </cell>
          <cell r="E10" t="str">
            <v>assets</v>
          </cell>
        </row>
        <row r="11">
          <cell r="A11">
            <v>11102</v>
          </cell>
          <cell r="B11" t="str">
            <v>Cash In Bank-Peso UB</v>
          </cell>
          <cell r="C11" t="str">
            <v>debit</v>
          </cell>
          <cell r="D11" t="str">
            <v>detail</v>
          </cell>
          <cell r="E11" t="str">
            <v>assets</v>
          </cell>
        </row>
        <row r="12">
          <cell r="A12">
            <v>11103</v>
          </cell>
          <cell r="B12" t="str">
            <v>Cash In Bank-Peso BPI</v>
          </cell>
          <cell r="C12" t="str">
            <v>debit</v>
          </cell>
          <cell r="D12" t="str">
            <v>detail</v>
          </cell>
          <cell r="E12" t="str">
            <v>assets</v>
          </cell>
        </row>
        <row r="13">
          <cell r="A13">
            <v>11104</v>
          </cell>
          <cell r="B13" t="str">
            <v>Cash In Bank-Dollar MBTC</v>
          </cell>
          <cell r="C13" t="str">
            <v>debit</v>
          </cell>
          <cell r="D13" t="str">
            <v>detail</v>
          </cell>
          <cell r="E13" t="str">
            <v>assets</v>
          </cell>
        </row>
        <row r="14">
          <cell r="A14">
            <v>11105</v>
          </cell>
          <cell r="B14" t="str">
            <v>Cash In Bank-J\ EPCI</v>
          </cell>
          <cell r="C14" t="str">
            <v>debit</v>
          </cell>
          <cell r="D14" t="str">
            <v>detail</v>
          </cell>
          <cell r="E14" t="str">
            <v>assets</v>
          </cell>
        </row>
        <row r="15">
          <cell r="A15">
            <v>11106</v>
          </cell>
          <cell r="B15" t="str">
            <v>COCI-Peso</v>
          </cell>
          <cell r="C15" t="str">
            <v>debit</v>
          </cell>
          <cell r="D15" t="str">
            <v>detail</v>
          </cell>
          <cell r="E15" t="str">
            <v>assets</v>
          </cell>
        </row>
        <row r="16">
          <cell r="A16">
            <v>11107</v>
          </cell>
          <cell r="B16" t="str">
            <v>COCI-Dollar</v>
          </cell>
          <cell r="C16" t="str">
            <v>debit</v>
          </cell>
          <cell r="D16" t="str">
            <v>detail</v>
          </cell>
          <cell r="E16" t="str">
            <v>assets</v>
          </cell>
        </row>
        <row r="17">
          <cell r="A17">
            <v>11108</v>
          </cell>
          <cell r="B17" t="str">
            <v xml:space="preserve">COCI-J\ </v>
          </cell>
          <cell r="C17" t="str">
            <v>debit</v>
          </cell>
          <cell r="D17" t="str">
            <v>detail</v>
          </cell>
          <cell r="E17" t="str">
            <v>assets</v>
          </cell>
        </row>
        <row r="18">
          <cell r="A18">
            <v>11109</v>
          </cell>
          <cell r="B18" t="str">
            <v>Petty Cash Fund</v>
          </cell>
          <cell r="C18" t="str">
            <v>debit</v>
          </cell>
          <cell r="D18" t="str">
            <v>detail</v>
          </cell>
          <cell r="E18" t="str">
            <v>assets</v>
          </cell>
        </row>
        <row r="19">
          <cell r="A19">
            <v>11110</v>
          </cell>
          <cell r="B19" t="str">
            <v>Revolving Fund</v>
          </cell>
          <cell r="C19" t="str">
            <v>debit</v>
          </cell>
          <cell r="D19" t="str">
            <v>detail</v>
          </cell>
          <cell r="E19" t="str">
            <v>assets</v>
          </cell>
        </row>
        <row r="20">
          <cell r="A20">
            <v>11111</v>
          </cell>
          <cell r="B20" t="str">
            <v>Cash In Bank-MBTC-JPY</v>
          </cell>
          <cell r="C20" t="str">
            <v>debit</v>
          </cell>
          <cell r="D20" t="str">
            <v>detail</v>
          </cell>
          <cell r="E20" t="str">
            <v>assets</v>
          </cell>
        </row>
        <row r="21">
          <cell r="A21">
            <v>12000</v>
          </cell>
          <cell r="B21" t="str">
            <v>Accounts Receivable</v>
          </cell>
          <cell r="C21" t="str">
            <v>debit</v>
          </cell>
          <cell r="D21" t="str">
            <v>header</v>
          </cell>
          <cell r="E21" t="str">
            <v>assets</v>
          </cell>
        </row>
        <row r="22">
          <cell r="A22">
            <v>12001</v>
          </cell>
          <cell r="B22" t="str">
            <v>Accounts Receivable-trade</v>
          </cell>
          <cell r="C22" t="str">
            <v>debit</v>
          </cell>
          <cell r="D22" t="str">
            <v>detail</v>
          </cell>
          <cell r="E22" t="str">
            <v>assets</v>
          </cell>
        </row>
        <row r="23">
          <cell r="A23">
            <v>12002</v>
          </cell>
          <cell r="B23" t="str">
            <v>Accounts Receivable-non trade</v>
          </cell>
          <cell r="C23" t="str">
            <v>debit</v>
          </cell>
          <cell r="D23" t="str">
            <v>detail</v>
          </cell>
          <cell r="E23" t="str">
            <v>assets</v>
          </cell>
        </row>
        <row r="24">
          <cell r="A24">
            <v>12100</v>
          </cell>
          <cell r="B24" t="str">
            <v>Prepaid Expenses</v>
          </cell>
          <cell r="C24" t="str">
            <v>debit</v>
          </cell>
          <cell r="D24" t="str">
            <v>header</v>
          </cell>
          <cell r="E24" t="str">
            <v>assets</v>
          </cell>
        </row>
        <row r="25">
          <cell r="A25">
            <v>12101</v>
          </cell>
          <cell r="B25" t="str">
            <v>Prepaid Office Supplies Expense</v>
          </cell>
          <cell r="C25" t="str">
            <v>debit</v>
          </cell>
          <cell r="D25" t="str">
            <v>detail</v>
          </cell>
          <cell r="E25" t="str">
            <v>assets</v>
          </cell>
        </row>
        <row r="26">
          <cell r="A26">
            <v>12102</v>
          </cell>
          <cell r="B26" t="str">
            <v>Prepaid Factory Supplies Expense</v>
          </cell>
          <cell r="C26" t="str">
            <v>debit</v>
          </cell>
          <cell r="D26" t="str">
            <v>detail</v>
          </cell>
          <cell r="E26" t="str">
            <v>assets</v>
          </cell>
        </row>
        <row r="27">
          <cell r="A27">
            <v>12103</v>
          </cell>
          <cell r="B27" t="str">
            <v>Prepaid Rent Expense</v>
          </cell>
          <cell r="C27" t="str">
            <v>debit</v>
          </cell>
          <cell r="D27" t="str">
            <v>detail</v>
          </cell>
          <cell r="E27" t="str">
            <v>assets</v>
          </cell>
        </row>
        <row r="28">
          <cell r="A28">
            <v>12104</v>
          </cell>
          <cell r="B28" t="str">
            <v>Prepaid Repairs&amp;Maint-Machinery&amp;Equipt</v>
          </cell>
          <cell r="C28" t="str">
            <v>debit</v>
          </cell>
          <cell r="D28" t="str">
            <v>detail</v>
          </cell>
          <cell r="E28" t="str">
            <v>assets</v>
          </cell>
        </row>
        <row r="29">
          <cell r="A29">
            <v>12105</v>
          </cell>
          <cell r="B29" t="str">
            <v>Prepaid Repairs&amp;Maint-Automobile</v>
          </cell>
          <cell r="C29" t="str">
            <v>debit</v>
          </cell>
          <cell r="D29" t="str">
            <v>detail</v>
          </cell>
          <cell r="E29" t="str">
            <v>assets</v>
          </cell>
        </row>
        <row r="30">
          <cell r="A30">
            <v>12106</v>
          </cell>
          <cell r="B30" t="str">
            <v>Prepaid Promotional and Mktg.</v>
          </cell>
          <cell r="C30" t="str">
            <v>debit</v>
          </cell>
          <cell r="D30" t="str">
            <v>detail</v>
          </cell>
          <cell r="E30" t="str">
            <v>assets</v>
          </cell>
        </row>
        <row r="31">
          <cell r="A31">
            <v>12107</v>
          </cell>
          <cell r="B31" t="str">
            <v>Prepaid R &amp; D Supplies Expense</v>
          </cell>
          <cell r="C31" t="str">
            <v>debit</v>
          </cell>
          <cell r="D31" t="str">
            <v>detail</v>
          </cell>
          <cell r="E31" t="str">
            <v>assets</v>
          </cell>
        </row>
        <row r="32">
          <cell r="A32">
            <v>12108</v>
          </cell>
          <cell r="B32" t="str">
            <v>Prepaid Sample Expense</v>
          </cell>
          <cell r="C32" t="str">
            <v>debit</v>
          </cell>
          <cell r="D32" t="str">
            <v>detail</v>
          </cell>
          <cell r="E32" t="str">
            <v>assets</v>
          </cell>
        </row>
        <row r="33">
          <cell r="A33">
            <v>12109</v>
          </cell>
          <cell r="B33" t="str">
            <v>Prepaid Office Equipment</v>
          </cell>
          <cell r="C33" t="str">
            <v>debit</v>
          </cell>
          <cell r="D33" t="str">
            <v>detail</v>
          </cell>
          <cell r="E33" t="str">
            <v>assets</v>
          </cell>
        </row>
        <row r="34">
          <cell r="A34">
            <v>12200</v>
          </cell>
          <cell r="B34" t="str">
            <v>Prepaid Purchases</v>
          </cell>
          <cell r="C34" t="str">
            <v>debit</v>
          </cell>
          <cell r="D34" t="str">
            <v>header</v>
          </cell>
          <cell r="E34" t="str">
            <v>assets</v>
          </cell>
        </row>
        <row r="35">
          <cell r="A35">
            <v>12201</v>
          </cell>
          <cell r="B35" t="str">
            <v>Prepaid Purchases - R/M - B</v>
          </cell>
          <cell r="C35" t="str">
            <v>debit</v>
          </cell>
          <cell r="D35" t="str">
            <v>detail</v>
          </cell>
          <cell r="E35" t="str">
            <v>assets</v>
          </cell>
        </row>
        <row r="36">
          <cell r="A36">
            <v>12202</v>
          </cell>
          <cell r="B36" t="str">
            <v>Prepaid Purchases - R/M - T</v>
          </cell>
          <cell r="C36" t="str">
            <v>debit</v>
          </cell>
          <cell r="D36" t="str">
            <v>detail</v>
          </cell>
          <cell r="E36" t="str">
            <v>assets</v>
          </cell>
        </row>
        <row r="37">
          <cell r="A37">
            <v>12203</v>
          </cell>
          <cell r="B37" t="str">
            <v>Prepaid Purchases - Spareparts</v>
          </cell>
          <cell r="C37" t="str">
            <v>debit</v>
          </cell>
          <cell r="D37" t="str">
            <v>detail</v>
          </cell>
          <cell r="E37" t="str">
            <v>assets</v>
          </cell>
        </row>
        <row r="38">
          <cell r="A38">
            <v>12204</v>
          </cell>
          <cell r="B38" t="str">
            <v>Prepaid Purchases - Services</v>
          </cell>
          <cell r="C38" t="str">
            <v>debit</v>
          </cell>
          <cell r="D38" t="str">
            <v>detail</v>
          </cell>
          <cell r="E38" t="str">
            <v>assets</v>
          </cell>
        </row>
        <row r="39">
          <cell r="A39">
            <v>12300</v>
          </cell>
          <cell r="B39" t="str">
            <v>Advances-Officers &amp; Employees</v>
          </cell>
          <cell r="C39" t="str">
            <v>debit</v>
          </cell>
          <cell r="D39" t="str">
            <v>header</v>
          </cell>
          <cell r="E39" t="str">
            <v>assets</v>
          </cell>
        </row>
        <row r="40">
          <cell r="A40">
            <v>12301</v>
          </cell>
          <cell r="B40" t="str">
            <v>Advances-Off &amp; Empl- CSY</v>
          </cell>
          <cell r="C40" t="str">
            <v>debit</v>
          </cell>
          <cell r="D40" t="str">
            <v>detail</v>
          </cell>
          <cell r="E40" t="str">
            <v>assets</v>
          </cell>
        </row>
        <row r="41">
          <cell r="A41">
            <v>12302</v>
          </cell>
          <cell r="B41" t="str">
            <v>Advances-Off &amp; Empl- EYW</v>
          </cell>
          <cell r="C41" t="str">
            <v>debit</v>
          </cell>
          <cell r="D41" t="str">
            <v>detail</v>
          </cell>
          <cell r="E41" t="str">
            <v>assets</v>
          </cell>
        </row>
        <row r="42">
          <cell r="A42">
            <v>12303</v>
          </cell>
          <cell r="B42" t="str">
            <v>Advances-Off &amp; Empl- YKS</v>
          </cell>
          <cell r="C42" t="str">
            <v>debit</v>
          </cell>
          <cell r="D42" t="str">
            <v>detail</v>
          </cell>
          <cell r="E42" t="str">
            <v>assets</v>
          </cell>
        </row>
        <row r="43">
          <cell r="A43">
            <v>12304</v>
          </cell>
          <cell r="B43" t="str">
            <v>Advances-Off &amp; Empl- CLS</v>
          </cell>
          <cell r="C43" t="str">
            <v>debit</v>
          </cell>
          <cell r="D43" t="str">
            <v>detail</v>
          </cell>
          <cell r="E43" t="str">
            <v>assets</v>
          </cell>
        </row>
        <row r="44">
          <cell r="A44">
            <v>12305</v>
          </cell>
          <cell r="B44" t="str">
            <v>Advances-Off &amp; Empl- Haydee V</v>
          </cell>
          <cell r="C44" t="str">
            <v>debit</v>
          </cell>
          <cell r="D44" t="str">
            <v>detail</v>
          </cell>
          <cell r="E44" t="str">
            <v>assets</v>
          </cell>
        </row>
        <row r="45">
          <cell r="A45">
            <v>12306</v>
          </cell>
          <cell r="B45" t="str">
            <v>Advances-Off &amp; Empl- Teodora J</v>
          </cell>
          <cell r="C45" t="str">
            <v>debit</v>
          </cell>
          <cell r="D45" t="str">
            <v>detail</v>
          </cell>
          <cell r="E45" t="str">
            <v>assets</v>
          </cell>
        </row>
        <row r="46">
          <cell r="A46">
            <v>12307</v>
          </cell>
          <cell r="B46" t="str">
            <v>Advances-Off &amp; Empl- Dante GMH</v>
          </cell>
          <cell r="C46" t="str">
            <v>debit</v>
          </cell>
          <cell r="D46" t="str">
            <v>detail</v>
          </cell>
          <cell r="E46" t="str">
            <v>assets</v>
          </cell>
        </row>
        <row r="47">
          <cell r="A47">
            <v>12308</v>
          </cell>
          <cell r="B47" t="str">
            <v>Advances-Off &amp; Empl- Peter M.</v>
          </cell>
          <cell r="C47" t="str">
            <v>debit</v>
          </cell>
          <cell r="D47" t="str">
            <v>detail</v>
          </cell>
          <cell r="E47" t="str">
            <v>assets</v>
          </cell>
        </row>
        <row r="48">
          <cell r="A48">
            <v>12309</v>
          </cell>
          <cell r="B48" t="str">
            <v>Advances-Off &amp; Empl- Mark A.</v>
          </cell>
          <cell r="C48" t="str">
            <v>debit</v>
          </cell>
          <cell r="D48" t="str">
            <v>detail</v>
          </cell>
          <cell r="E48" t="str">
            <v>assets</v>
          </cell>
        </row>
        <row r="49">
          <cell r="A49">
            <v>12310</v>
          </cell>
          <cell r="B49" t="str">
            <v>Advances-Off &amp; Empl- Omar T.</v>
          </cell>
          <cell r="C49" t="str">
            <v>debit</v>
          </cell>
          <cell r="D49" t="str">
            <v>detail</v>
          </cell>
          <cell r="E49" t="str">
            <v>assets</v>
          </cell>
        </row>
        <row r="50">
          <cell r="A50">
            <v>12311</v>
          </cell>
          <cell r="B50" t="str">
            <v>Advances-Off &amp; Empl- Lea J.</v>
          </cell>
          <cell r="C50" t="str">
            <v>debit</v>
          </cell>
          <cell r="D50" t="str">
            <v>detail</v>
          </cell>
          <cell r="E50" t="str">
            <v>assets</v>
          </cell>
        </row>
        <row r="51">
          <cell r="A51">
            <v>12312</v>
          </cell>
          <cell r="B51" t="str">
            <v>Advances-Off &amp; Empl- Edmar B.</v>
          </cell>
          <cell r="C51" t="str">
            <v>debit</v>
          </cell>
          <cell r="D51" t="str">
            <v>detail</v>
          </cell>
          <cell r="E51" t="str">
            <v>assets</v>
          </cell>
        </row>
        <row r="52">
          <cell r="A52">
            <v>12313</v>
          </cell>
          <cell r="B52" t="str">
            <v>Advances-Off &amp; Empl- Tonie V.</v>
          </cell>
          <cell r="C52" t="str">
            <v>debit</v>
          </cell>
          <cell r="D52" t="str">
            <v>detail</v>
          </cell>
          <cell r="E52" t="str">
            <v>assets</v>
          </cell>
        </row>
        <row r="53">
          <cell r="A53">
            <v>12314</v>
          </cell>
          <cell r="B53" t="str">
            <v>Advances-Off &amp; Empl- Marcus V.</v>
          </cell>
          <cell r="C53" t="str">
            <v>debit</v>
          </cell>
          <cell r="D53" t="str">
            <v>detail</v>
          </cell>
          <cell r="E53" t="str">
            <v>assets</v>
          </cell>
        </row>
        <row r="54">
          <cell r="A54">
            <v>12315</v>
          </cell>
          <cell r="B54" t="str">
            <v>Advances-Off &amp; Empl- Annaliza R.</v>
          </cell>
          <cell r="C54" t="str">
            <v>debit</v>
          </cell>
          <cell r="D54" t="str">
            <v>detail</v>
          </cell>
          <cell r="E54" t="str">
            <v>assets</v>
          </cell>
        </row>
        <row r="55">
          <cell r="A55">
            <v>12316</v>
          </cell>
          <cell r="B55" t="str">
            <v>Advances-Off &amp; Empl- Clenda S.</v>
          </cell>
          <cell r="C55" t="str">
            <v>debit</v>
          </cell>
          <cell r="D55" t="str">
            <v>detail</v>
          </cell>
          <cell r="E55" t="str">
            <v>assets</v>
          </cell>
        </row>
        <row r="56">
          <cell r="A56">
            <v>12317</v>
          </cell>
          <cell r="B56" t="str">
            <v>Advances-Off &amp; Empl- Renante M.</v>
          </cell>
          <cell r="C56" t="str">
            <v>debit</v>
          </cell>
          <cell r="D56" t="str">
            <v>detail</v>
          </cell>
          <cell r="E56" t="str">
            <v>assets</v>
          </cell>
        </row>
        <row r="57">
          <cell r="A57">
            <v>12318</v>
          </cell>
          <cell r="B57" t="str">
            <v>Advances-Off &amp; Empl- Nilo A.</v>
          </cell>
          <cell r="C57" t="str">
            <v>debit</v>
          </cell>
          <cell r="D57" t="str">
            <v>detail</v>
          </cell>
          <cell r="E57" t="str">
            <v>assets</v>
          </cell>
        </row>
        <row r="58">
          <cell r="A58">
            <v>12319</v>
          </cell>
          <cell r="B58" t="str">
            <v>Advances-Off &amp; Empl- Jeffrey L.</v>
          </cell>
          <cell r="C58" t="str">
            <v>debit</v>
          </cell>
          <cell r="D58" t="str">
            <v>detail</v>
          </cell>
          <cell r="E58" t="str">
            <v>assets</v>
          </cell>
        </row>
        <row r="59">
          <cell r="A59">
            <v>12320</v>
          </cell>
          <cell r="B59" t="str">
            <v>Advances-Off &amp; Empl- Teresa O.</v>
          </cell>
          <cell r="C59" t="str">
            <v>debit</v>
          </cell>
          <cell r="D59" t="str">
            <v>detail</v>
          </cell>
          <cell r="E59" t="str">
            <v>assets</v>
          </cell>
        </row>
        <row r="60">
          <cell r="A60">
            <v>12321</v>
          </cell>
          <cell r="B60" t="str">
            <v>Advances-Off &amp; Empl- Roland D.</v>
          </cell>
          <cell r="C60" t="str">
            <v>debit</v>
          </cell>
          <cell r="D60" t="str">
            <v>detail</v>
          </cell>
          <cell r="E60" t="str">
            <v>assets</v>
          </cell>
        </row>
        <row r="61">
          <cell r="A61">
            <v>12400</v>
          </cell>
          <cell r="B61" t="str">
            <v>Advances - Others</v>
          </cell>
          <cell r="C61" t="str">
            <v>debit</v>
          </cell>
          <cell r="D61" t="str">
            <v>header</v>
          </cell>
          <cell r="E61" t="str">
            <v>assets</v>
          </cell>
        </row>
        <row r="62">
          <cell r="A62">
            <v>12401</v>
          </cell>
          <cell r="B62" t="str">
            <v>Advances -Others-Acumax Int'l</v>
          </cell>
          <cell r="C62" t="str">
            <v>debit</v>
          </cell>
          <cell r="D62" t="str">
            <v>detail</v>
          </cell>
          <cell r="E62" t="str">
            <v>assets</v>
          </cell>
        </row>
        <row r="63">
          <cell r="A63">
            <v>12402</v>
          </cell>
          <cell r="B63" t="str">
            <v>Advances -Others-FAST Lab</v>
          </cell>
          <cell r="C63" t="str">
            <v>debit</v>
          </cell>
          <cell r="D63" t="str">
            <v>detail</v>
          </cell>
          <cell r="E63" t="str">
            <v>assets</v>
          </cell>
        </row>
        <row r="64">
          <cell r="A64">
            <v>12403</v>
          </cell>
          <cell r="B64" t="str">
            <v>Advances -Others-Metro Printer</v>
          </cell>
          <cell r="C64" t="str">
            <v>debit</v>
          </cell>
          <cell r="D64" t="str">
            <v>detail</v>
          </cell>
          <cell r="E64" t="str">
            <v>assets</v>
          </cell>
        </row>
        <row r="65">
          <cell r="A65">
            <v>12404</v>
          </cell>
          <cell r="B65" t="str">
            <v>Advances -Others-Prince Laurent Multiproducts</v>
          </cell>
          <cell r="C65" t="str">
            <v>debit</v>
          </cell>
          <cell r="D65" t="str">
            <v>detail</v>
          </cell>
          <cell r="E65" t="str">
            <v>assets</v>
          </cell>
        </row>
        <row r="66">
          <cell r="A66">
            <v>12405</v>
          </cell>
          <cell r="B66" t="str">
            <v>Advances -Others-San Miguel Foods</v>
          </cell>
          <cell r="C66" t="str">
            <v>debit</v>
          </cell>
          <cell r="D66" t="str">
            <v>detail</v>
          </cell>
          <cell r="E66" t="str">
            <v>assets</v>
          </cell>
        </row>
        <row r="67">
          <cell r="A67">
            <v>12406</v>
          </cell>
          <cell r="B67" t="str">
            <v>Advances -Others-Jollibee</v>
          </cell>
          <cell r="C67" t="str">
            <v>debit</v>
          </cell>
          <cell r="D67" t="str">
            <v>detail</v>
          </cell>
          <cell r="E67" t="str">
            <v>assets</v>
          </cell>
        </row>
        <row r="68">
          <cell r="A68">
            <v>12407</v>
          </cell>
          <cell r="B68" t="str">
            <v>Advances -Others-TI Phils.</v>
          </cell>
          <cell r="C68" t="str">
            <v>debit</v>
          </cell>
          <cell r="D68" t="str">
            <v>detail</v>
          </cell>
          <cell r="E68" t="str">
            <v>assets</v>
          </cell>
        </row>
        <row r="69">
          <cell r="A69">
            <v>12408</v>
          </cell>
          <cell r="B69" t="str">
            <v>Advances -Others-UNET Phils</v>
          </cell>
          <cell r="C69" t="str">
            <v>debit</v>
          </cell>
          <cell r="D69" t="str">
            <v>detail</v>
          </cell>
          <cell r="E69" t="str">
            <v>assets</v>
          </cell>
        </row>
        <row r="70">
          <cell r="A70">
            <v>12409</v>
          </cell>
          <cell r="B70" t="str">
            <v>Advances -Others-Intertek</v>
          </cell>
          <cell r="C70" t="str">
            <v>debit</v>
          </cell>
          <cell r="D70" t="str">
            <v>detail</v>
          </cell>
          <cell r="E70" t="str">
            <v>assets</v>
          </cell>
        </row>
        <row r="71">
          <cell r="A71">
            <v>12410</v>
          </cell>
          <cell r="B71" t="str">
            <v>Advances -Others-X-Habit</v>
          </cell>
          <cell r="C71" t="str">
            <v>debit</v>
          </cell>
          <cell r="D71" t="str">
            <v>detail</v>
          </cell>
          <cell r="E71" t="str">
            <v>assets</v>
          </cell>
        </row>
        <row r="72">
          <cell r="A72">
            <v>12411</v>
          </cell>
          <cell r="B72" t="str">
            <v>Advances -Others-Sammy Amante</v>
          </cell>
          <cell r="C72" t="str">
            <v>debit</v>
          </cell>
          <cell r="D72" t="str">
            <v>detail</v>
          </cell>
          <cell r="E72" t="str">
            <v>assets</v>
          </cell>
        </row>
        <row r="73">
          <cell r="A73">
            <v>12412</v>
          </cell>
          <cell r="B73" t="str">
            <v>Advances -Others-Nestle CDO</v>
          </cell>
          <cell r="C73" t="str">
            <v>debit</v>
          </cell>
          <cell r="D73" t="str">
            <v>detail</v>
          </cell>
          <cell r="E73" t="str">
            <v>assets</v>
          </cell>
        </row>
        <row r="74">
          <cell r="A74">
            <v>12413</v>
          </cell>
          <cell r="B74" t="str">
            <v>Advances -Others-Skyline Food</v>
          </cell>
          <cell r="C74" t="str">
            <v>debit</v>
          </cell>
          <cell r="D74" t="str">
            <v>detail</v>
          </cell>
          <cell r="E74" t="str">
            <v>assets</v>
          </cell>
        </row>
        <row r="75">
          <cell r="A75">
            <v>12414</v>
          </cell>
          <cell r="B75" t="str">
            <v>Advances -Others-Blue Rock Aggregates</v>
          </cell>
          <cell r="C75" t="str">
            <v>debit</v>
          </cell>
          <cell r="D75" t="str">
            <v>detail</v>
          </cell>
          <cell r="E75" t="str">
            <v>assets</v>
          </cell>
        </row>
        <row r="76">
          <cell r="A76">
            <v>12500</v>
          </cell>
          <cell r="B76" t="str">
            <v xml:space="preserve">Advances to Affiliates </v>
          </cell>
          <cell r="C76" t="str">
            <v>debit</v>
          </cell>
          <cell r="D76" t="str">
            <v>header</v>
          </cell>
          <cell r="E76" t="str">
            <v>assets</v>
          </cell>
        </row>
        <row r="77">
          <cell r="A77">
            <v>12501</v>
          </cell>
          <cell r="B77" t="str">
            <v>Advances to Blue Rock Aggregates</v>
          </cell>
          <cell r="C77" t="str">
            <v>debit</v>
          </cell>
          <cell r="D77" t="str">
            <v>detail</v>
          </cell>
          <cell r="E77" t="str">
            <v>assets</v>
          </cell>
        </row>
        <row r="78">
          <cell r="A78">
            <v>12502</v>
          </cell>
          <cell r="B78" t="str">
            <v>Advances to MBT Int'l Freight Forwarder, Inc</v>
          </cell>
          <cell r="C78" t="str">
            <v>debit</v>
          </cell>
          <cell r="D78" t="str">
            <v>detail</v>
          </cell>
          <cell r="E78" t="str">
            <v>assets</v>
          </cell>
        </row>
        <row r="79">
          <cell r="A79">
            <v>12600</v>
          </cell>
          <cell r="B79" t="str">
            <v>Purchases in Transit</v>
          </cell>
          <cell r="C79" t="str">
            <v>debit</v>
          </cell>
          <cell r="D79" t="str">
            <v>detail</v>
          </cell>
          <cell r="E79" t="str">
            <v>assets</v>
          </cell>
        </row>
        <row r="80">
          <cell r="A80">
            <v>12601</v>
          </cell>
          <cell r="B80" t="str">
            <v>Allowance for Bad Debts</v>
          </cell>
          <cell r="C80" t="str">
            <v>debit</v>
          </cell>
          <cell r="D80" t="str">
            <v>detail</v>
          </cell>
          <cell r="E80" t="str">
            <v>contra-asset</v>
          </cell>
        </row>
        <row r="81">
          <cell r="A81">
            <v>13000</v>
          </cell>
          <cell r="B81" t="str">
            <v>Inventory</v>
          </cell>
          <cell r="C81" t="str">
            <v>debit</v>
          </cell>
          <cell r="D81" t="str">
            <v>header</v>
          </cell>
          <cell r="E81" t="str">
            <v>assets</v>
          </cell>
        </row>
        <row r="82">
          <cell r="A82">
            <v>13001</v>
          </cell>
          <cell r="B82" t="str">
            <v>Finished Goods Inventory</v>
          </cell>
          <cell r="C82" t="str">
            <v>debit</v>
          </cell>
          <cell r="D82" t="str">
            <v>detail</v>
          </cell>
          <cell r="E82" t="str">
            <v>assets</v>
          </cell>
        </row>
        <row r="83">
          <cell r="A83">
            <v>13002</v>
          </cell>
          <cell r="B83" t="str">
            <v>Work - In - Progress Inventory</v>
          </cell>
          <cell r="C83" t="str">
            <v>debit</v>
          </cell>
          <cell r="D83" t="str">
            <v>detail</v>
          </cell>
          <cell r="E83" t="str">
            <v>assets</v>
          </cell>
        </row>
        <row r="84">
          <cell r="A84">
            <v>13003</v>
          </cell>
          <cell r="B84" t="str">
            <v>Raw Materials Inventory</v>
          </cell>
          <cell r="C84" t="str">
            <v>debit</v>
          </cell>
          <cell r="D84" t="str">
            <v>detail</v>
          </cell>
          <cell r="E84" t="str">
            <v>assets</v>
          </cell>
        </row>
        <row r="85">
          <cell r="A85">
            <v>13004</v>
          </cell>
          <cell r="B85" t="str">
            <v>Merchandise - Trade</v>
          </cell>
          <cell r="C85" t="str">
            <v>debit</v>
          </cell>
          <cell r="D85" t="str">
            <v>detail</v>
          </cell>
          <cell r="E85" t="str">
            <v>assets</v>
          </cell>
        </row>
        <row r="86">
          <cell r="A86">
            <v>13005</v>
          </cell>
          <cell r="B86" t="str">
            <v>Machines Inventory</v>
          </cell>
          <cell r="C86" t="str">
            <v>debit</v>
          </cell>
          <cell r="D86" t="str">
            <v>detail</v>
          </cell>
          <cell r="E86" t="str">
            <v>assets</v>
          </cell>
        </row>
        <row r="87">
          <cell r="A87">
            <v>13006</v>
          </cell>
          <cell r="B87" t="str">
            <v>Packaging Materials Inventory</v>
          </cell>
          <cell r="C87" t="str">
            <v>debit</v>
          </cell>
          <cell r="D87" t="str">
            <v>detail</v>
          </cell>
          <cell r="E87" t="str">
            <v>assets</v>
          </cell>
        </row>
        <row r="88">
          <cell r="A88">
            <v>13007</v>
          </cell>
          <cell r="B88" t="str">
            <v>Spare Parts Inventory</v>
          </cell>
          <cell r="C88" t="str">
            <v>debit</v>
          </cell>
          <cell r="D88" t="str">
            <v>detail</v>
          </cell>
          <cell r="E88" t="str">
            <v>assets</v>
          </cell>
        </row>
        <row r="89">
          <cell r="A89">
            <v>13008</v>
          </cell>
          <cell r="B89" t="str">
            <v>R &amp; D Supplies Inventory</v>
          </cell>
          <cell r="C89" t="str">
            <v>debit</v>
          </cell>
          <cell r="D89" t="str">
            <v>detail</v>
          </cell>
          <cell r="E89" t="str">
            <v>assets</v>
          </cell>
        </row>
        <row r="90">
          <cell r="A90">
            <v>13009</v>
          </cell>
          <cell r="B90" t="str">
            <v>Factory Supplies Inventory</v>
          </cell>
          <cell r="C90" t="str">
            <v>debit</v>
          </cell>
          <cell r="D90" t="str">
            <v>detail</v>
          </cell>
          <cell r="E90" t="str">
            <v>assets</v>
          </cell>
        </row>
        <row r="91">
          <cell r="A91">
            <v>13010</v>
          </cell>
          <cell r="B91" t="str">
            <v>Office Supplies Inventory</v>
          </cell>
          <cell r="C91" t="str">
            <v>debit</v>
          </cell>
          <cell r="D91" t="str">
            <v>detail</v>
          </cell>
          <cell r="E91" t="str">
            <v>assets</v>
          </cell>
        </row>
        <row r="92">
          <cell r="A92">
            <v>13011</v>
          </cell>
          <cell r="B92" t="str">
            <v>Tools Inventory</v>
          </cell>
          <cell r="C92" t="str">
            <v>debit</v>
          </cell>
          <cell r="D92" t="str">
            <v>detail</v>
          </cell>
          <cell r="E92" t="str">
            <v>assets</v>
          </cell>
        </row>
        <row r="93">
          <cell r="A93">
            <v>14000</v>
          </cell>
          <cell r="B93" t="str">
            <v>Investment</v>
          </cell>
          <cell r="C93" t="str">
            <v>debit</v>
          </cell>
          <cell r="D93" t="str">
            <v>header</v>
          </cell>
          <cell r="E93" t="str">
            <v>assets</v>
          </cell>
        </row>
        <row r="94">
          <cell r="A94">
            <v>14001</v>
          </cell>
          <cell r="B94" t="str">
            <v>Cash Equivalents</v>
          </cell>
          <cell r="C94" t="str">
            <v>debit</v>
          </cell>
          <cell r="D94" t="str">
            <v>detail</v>
          </cell>
          <cell r="E94" t="str">
            <v>assets</v>
          </cell>
        </row>
        <row r="95">
          <cell r="A95">
            <v>14002</v>
          </cell>
          <cell r="B95" t="str">
            <v>Temporary Investment</v>
          </cell>
          <cell r="C95" t="str">
            <v>debit</v>
          </cell>
          <cell r="D95" t="str">
            <v>detail</v>
          </cell>
          <cell r="E95" t="str">
            <v>assets</v>
          </cell>
        </row>
        <row r="96">
          <cell r="A96">
            <v>14003</v>
          </cell>
          <cell r="B96" t="str">
            <v>Telephone Investment</v>
          </cell>
          <cell r="C96" t="str">
            <v>debit</v>
          </cell>
          <cell r="D96" t="str">
            <v>detail</v>
          </cell>
          <cell r="E96" t="str">
            <v>assets</v>
          </cell>
        </row>
        <row r="97">
          <cell r="A97">
            <v>15000</v>
          </cell>
          <cell r="B97" t="str">
            <v>Other Current Asset</v>
          </cell>
          <cell r="C97" t="str">
            <v>debit</v>
          </cell>
          <cell r="D97" t="str">
            <v>header</v>
          </cell>
          <cell r="E97" t="str">
            <v>assets</v>
          </cell>
        </row>
        <row r="98">
          <cell r="A98">
            <v>15001</v>
          </cell>
          <cell r="B98" t="str">
            <v>Other Current Asset</v>
          </cell>
          <cell r="C98" t="str">
            <v>debit</v>
          </cell>
          <cell r="D98" t="str">
            <v>detail</v>
          </cell>
          <cell r="E98" t="str">
            <v>assets</v>
          </cell>
        </row>
        <row r="99">
          <cell r="A99">
            <v>15002</v>
          </cell>
          <cell r="B99" t="str">
            <v>Rental Deposit</v>
          </cell>
          <cell r="C99" t="str">
            <v>debit</v>
          </cell>
          <cell r="D99" t="str">
            <v>detail</v>
          </cell>
          <cell r="E99" t="str">
            <v>assets</v>
          </cell>
        </row>
        <row r="100">
          <cell r="A100">
            <v>15003</v>
          </cell>
          <cell r="B100" t="str">
            <v>Meralco Deposit</v>
          </cell>
          <cell r="C100" t="str">
            <v>debit</v>
          </cell>
          <cell r="D100" t="str">
            <v>detail</v>
          </cell>
          <cell r="E100" t="str">
            <v>assets</v>
          </cell>
        </row>
        <row r="101">
          <cell r="A101">
            <v>15004</v>
          </cell>
          <cell r="B101" t="str">
            <v>PLDT Deposit</v>
          </cell>
          <cell r="C101" t="str">
            <v>debit</v>
          </cell>
          <cell r="D101" t="str">
            <v>detail</v>
          </cell>
          <cell r="E101" t="str">
            <v>assets</v>
          </cell>
        </row>
        <row r="102">
          <cell r="A102">
            <v>15005</v>
          </cell>
          <cell r="B102" t="str">
            <v>Miscellaneous Deposit</v>
          </cell>
          <cell r="C102" t="str">
            <v>debit</v>
          </cell>
          <cell r="D102" t="str">
            <v>detail</v>
          </cell>
          <cell r="E102" t="str">
            <v>assets</v>
          </cell>
        </row>
        <row r="103">
          <cell r="A103">
            <v>15006</v>
          </cell>
          <cell r="B103" t="str">
            <v>Returnable Containers</v>
          </cell>
          <cell r="C103" t="str">
            <v>debit</v>
          </cell>
          <cell r="D103" t="str">
            <v>detail</v>
          </cell>
          <cell r="E103" t="str">
            <v>assets</v>
          </cell>
        </row>
        <row r="104">
          <cell r="A104">
            <v>16000</v>
          </cell>
          <cell r="B104" t="str">
            <v>Non-Current Assets</v>
          </cell>
          <cell r="C104" t="str">
            <v>debit</v>
          </cell>
          <cell r="D104" t="str">
            <v>header</v>
          </cell>
          <cell r="E104" t="str">
            <v>assets</v>
          </cell>
        </row>
        <row r="105">
          <cell r="A105">
            <v>16100</v>
          </cell>
          <cell r="B105" t="str">
            <v>Long-Term Investment</v>
          </cell>
          <cell r="C105" t="str">
            <v>debit</v>
          </cell>
          <cell r="D105" t="str">
            <v>header</v>
          </cell>
          <cell r="E105" t="str">
            <v>assets</v>
          </cell>
        </row>
        <row r="106">
          <cell r="A106">
            <v>16101</v>
          </cell>
          <cell r="B106" t="str">
            <v>Investment in Stocks</v>
          </cell>
          <cell r="C106" t="str">
            <v>debit</v>
          </cell>
          <cell r="D106" t="str">
            <v>detail</v>
          </cell>
          <cell r="E106" t="str">
            <v>assets</v>
          </cell>
        </row>
        <row r="107">
          <cell r="A107">
            <v>17000</v>
          </cell>
          <cell r="B107" t="str">
            <v>Intangible Asset</v>
          </cell>
          <cell r="C107" t="str">
            <v>debit</v>
          </cell>
          <cell r="D107" t="str">
            <v>header</v>
          </cell>
          <cell r="E107" t="str">
            <v>assets</v>
          </cell>
        </row>
        <row r="108">
          <cell r="A108">
            <v>17001</v>
          </cell>
          <cell r="B108" t="str">
            <v>Organization Costs</v>
          </cell>
          <cell r="C108" t="str">
            <v>debit</v>
          </cell>
          <cell r="D108" t="str">
            <v>detail</v>
          </cell>
          <cell r="E108" t="str">
            <v>assets</v>
          </cell>
        </row>
        <row r="109">
          <cell r="A109">
            <v>17002</v>
          </cell>
          <cell r="B109" t="str">
            <v>Software Development Cost</v>
          </cell>
          <cell r="C109" t="str">
            <v>debit</v>
          </cell>
          <cell r="D109" t="str">
            <v>detail</v>
          </cell>
          <cell r="E109" t="str">
            <v>assets</v>
          </cell>
        </row>
        <row r="110">
          <cell r="A110">
            <v>17003</v>
          </cell>
          <cell r="B110" t="str">
            <v>Francise</v>
          </cell>
          <cell r="C110" t="str">
            <v>debit</v>
          </cell>
          <cell r="D110" t="str">
            <v>detail</v>
          </cell>
          <cell r="E110" t="str">
            <v>assets</v>
          </cell>
        </row>
        <row r="111">
          <cell r="A111">
            <v>17004</v>
          </cell>
          <cell r="B111" t="str">
            <v>Goodwill</v>
          </cell>
          <cell r="C111" t="str">
            <v>debit</v>
          </cell>
          <cell r="D111" t="str">
            <v>detail</v>
          </cell>
          <cell r="E111" t="str">
            <v>assets</v>
          </cell>
        </row>
        <row r="112">
          <cell r="A112">
            <v>17005</v>
          </cell>
          <cell r="B112" t="str">
            <v>Leasehold Improvement</v>
          </cell>
          <cell r="C112" t="str">
            <v>debit</v>
          </cell>
          <cell r="D112" t="str">
            <v>detail</v>
          </cell>
          <cell r="E112" t="str">
            <v>assets</v>
          </cell>
        </row>
        <row r="113">
          <cell r="A113">
            <v>17006</v>
          </cell>
          <cell r="B113" t="str">
            <v>Computer Software-Program</v>
          </cell>
          <cell r="C113" t="str">
            <v>debit</v>
          </cell>
          <cell r="D113" t="str">
            <v>detail</v>
          </cell>
          <cell r="E113" t="str">
            <v>assets</v>
          </cell>
        </row>
        <row r="114">
          <cell r="A114">
            <v>18000</v>
          </cell>
          <cell r="B114" t="str">
            <v>Fixed Asset</v>
          </cell>
          <cell r="C114" t="str">
            <v>debit</v>
          </cell>
          <cell r="D114" t="str">
            <v>header</v>
          </cell>
          <cell r="E114" t="str">
            <v>assets</v>
          </cell>
        </row>
        <row r="115">
          <cell r="A115">
            <v>18001</v>
          </cell>
          <cell r="B115" t="str">
            <v>Office Equipment</v>
          </cell>
          <cell r="C115" t="str">
            <v>debit</v>
          </cell>
          <cell r="D115" t="str">
            <v>detail</v>
          </cell>
          <cell r="E115" t="str">
            <v>assets</v>
          </cell>
        </row>
        <row r="116">
          <cell r="A116">
            <v>18002</v>
          </cell>
          <cell r="B116" t="str">
            <v>Office Furnitures &amp; Fixtures</v>
          </cell>
          <cell r="C116" t="str">
            <v>debit</v>
          </cell>
          <cell r="D116" t="str">
            <v>detail</v>
          </cell>
          <cell r="E116" t="str">
            <v>assets</v>
          </cell>
        </row>
        <row r="117">
          <cell r="A117">
            <v>18003</v>
          </cell>
          <cell r="B117" t="str">
            <v>Factory Equipment</v>
          </cell>
          <cell r="C117" t="str">
            <v>debit</v>
          </cell>
          <cell r="D117" t="str">
            <v>detail</v>
          </cell>
          <cell r="E117" t="str">
            <v>assets</v>
          </cell>
        </row>
        <row r="118">
          <cell r="A118">
            <v>18004</v>
          </cell>
          <cell r="B118" t="str">
            <v>Factory Furnitures &amp; Fixtures</v>
          </cell>
          <cell r="C118" t="str">
            <v>debit</v>
          </cell>
          <cell r="D118" t="str">
            <v>detail</v>
          </cell>
          <cell r="E118" t="str">
            <v>assets</v>
          </cell>
        </row>
        <row r="119">
          <cell r="A119">
            <v>18005</v>
          </cell>
          <cell r="B119" t="str">
            <v>Delivery Equipment</v>
          </cell>
          <cell r="C119" t="str">
            <v>debit</v>
          </cell>
          <cell r="D119" t="str">
            <v>detail</v>
          </cell>
          <cell r="E119" t="str">
            <v>assets</v>
          </cell>
        </row>
        <row r="120">
          <cell r="A120">
            <v>18006</v>
          </cell>
          <cell r="B120" t="str">
            <v>Automobile</v>
          </cell>
          <cell r="C120" t="str">
            <v>debit</v>
          </cell>
          <cell r="D120" t="str">
            <v>detail</v>
          </cell>
          <cell r="E120" t="str">
            <v>assets</v>
          </cell>
        </row>
        <row r="121">
          <cell r="A121">
            <v>18007</v>
          </cell>
          <cell r="B121" t="str">
            <v>Building</v>
          </cell>
          <cell r="C121" t="str">
            <v>debit</v>
          </cell>
          <cell r="D121" t="str">
            <v>detail</v>
          </cell>
          <cell r="E121" t="str">
            <v>assets</v>
          </cell>
        </row>
        <row r="122">
          <cell r="A122">
            <v>18008</v>
          </cell>
          <cell r="B122" t="str">
            <v>Accumulated Depreciation</v>
          </cell>
          <cell r="C122" t="str">
            <v>credit</v>
          </cell>
          <cell r="D122" t="str">
            <v>detail</v>
          </cell>
          <cell r="E122" t="str">
            <v>contra-asset</v>
          </cell>
        </row>
        <row r="123">
          <cell r="A123">
            <v>18009</v>
          </cell>
          <cell r="B123" t="str">
            <v>Land</v>
          </cell>
          <cell r="C123" t="str">
            <v>debit</v>
          </cell>
          <cell r="D123" t="str">
            <v>detail</v>
          </cell>
          <cell r="E123" t="str">
            <v>assets</v>
          </cell>
        </row>
        <row r="124">
          <cell r="A124">
            <v>18010</v>
          </cell>
          <cell r="B124" t="str">
            <v>R &amp; D Furniture &amp; Equipment</v>
          </cell>
          <cell r="C124" t="str">
            <v>debit</v>
          </cell>
          <cell r="D124" t="str">
            <v>detail</v>
          </cell>
          <cell r="E124" t="str">
            <v>assets</v>
          </cell>
        </row>
        <row r="125">
          <cell r="A125">
            <v>18011</v>
          </cell>
          <cell r="B125" t="str">
            <v>Communication Equipment</v>
          </cell>
          <cell r="C125" t="str">
            <v>debit</v>
          </cell>
          <cell r="D125" t="str">
            <v>detail</v>
          </cell>
          <cell r="E125" t="str">
            <v>assets</v>
          </cell>
        </row>
        <row r="126">
          <cell r="A126">
            <v>20000</v>
          </cell>
          <cell r="B126" t="str">
            <v>Liability</v>
          </cell>
          <cell r="C126" t="str">
            <v>credit</v>
          </cell>
          <cell r="D126" t="str">
            <v>header</v>
          </cell>
          <cell r="E126" t="str">
            <v>liability</v>
          </cell>
        </row>
        <row r="127">
          <cell r="A127">
            <v>21000</v>
          </cell>
          <cell r="B127" t="str">
            <v>Current Liability</v>
          </cell>
          <cell r="C127" t="str">
            <v>credit</v>
          </cell>
          <cell r="D127" t="str">
            <v>header</v>
          </cell>
          <cell r="E127" t="str">
            <v>liability</v>
          </cell>
        </row>
        <row r="128">
          <cell r="A128">
            <v>21001</v>
          </cell>
          <cell r="B128" t="str">
            <v>Accounts Payable-trade</v>
          </cell>
          <cell r="C128" t="str">
            <v>credit</v>
          </cell>
          <cell r="D128" t="str">
            <v>detail</v>
          </cell>
          <cell r="E128" t="str">
            <v>liability</v>
          </cell>
        </row>
        <row r="129">
          <cell r="A129">
            <v>21002</v>
          </cell>
          <cell r="B129" t="str">
            <v>Notes Payable-current</v>
          </cell>
          <cell r="C129" t="str">
            <v>credit</v>
          </cell>
          <cell r="D129" t="str">
            <v>detail</v>
          </cell>
          <cell r="E129" t="str">
            <v>liability</v>
          </cell>
        </row>
        <row r="130">
          <cell r="A130">
            <v>21003</v>
          </cell>
          <cell r="B130" t="str">
            <v>Accounts Payable-non trade</v>
          </cell>
          <cell r="C130" t="str">
            <v>credit</v>
          </cell>
          <cell r="D130" t="str">
            <v>detail</v>
          </cell>
          <cell r="E130" t="str">
            <v>liability</v>
          </cell>
        </row>
        <row r="131">
          <cell r="A131">
            <v>21004</v>
          </cell>
          <cell r="B131" t="str">
            <v>Advances from Blue Rock</v>
          </cell>
          <cell r="C131" t="str">
            <v>credit</v>
          </cell>
          <cell r="D131" t="str">
            <v>detail</v>
          </cell>
          <cell r="E131" t="str">
            <v>liability</v>
          </cell>
        </row>
        <row r="132">
          <cell r="A132">
            <v>21005</v>
          </cell>
          <cell r="B132" t="str">
            <v>Customers' Deposit</v>
          </cell>
          <cell r="C132" t="str">
            <v>credit</v>
          </cell>
          <cell r="D132" t="str">
            <v>detail</v>
          </cell>
          <cell r="E132" t="str">
            <v>liability</v>
          </cell>
        </row>
        <row r="133">
          <cell r="A133">
            <v>21006</v>
          </cell>
          <cell r="B133" t="str">
            <v>Advances from Ocean Canning</v>
          </cell>
          <cell r="C133" t="str">
            <v>credit</v>
          </cell>
          <cell r="D133" t="str">
            <v>detail</v>
          </cell>
          <cell r="E133" t="str">
            <v>liability</v>
          </cell>
        </row>
        <row r="134">
          <cell r="A134">
            <v>22000</v>
          </cell>
          <cell r="B134" t="str">
            <v>Accrued Expenses Payable</v>
          </cell>
          <cell r="C134" t="str">
            <v>credit</v>
          </cell>
          <cell r="D134" t="str">
            <v>header</v>
          </cell>
          <cell r="E134" t="str">
            <v>liability</v>
          </cell>
        </row>
        <row r="135">
          <cell r="A135">
            <v>22001</v>
          </cell>
          <cell r="B135" t="str">
            <v>Accrued Salaries &amp; Wages</v>
          </cell>
          <cell r="C135" t="str">
            <v>credit</v>
          </cell>
          <cell r="D135" t="str">
            <v>detail</v>
          </cell>
          <cell r="E135" t="str">
            <v>liability</v>
          </cell>
        </row>
        <row r="136">
          <cell r="A136">
            <v>22002</v>
          </cell>
          <cell r="B136" t="str">
            <v>Accrued Utilities</v>
          </cell>
          <cell r="C136" t="str">
            <v>credit</v>
          </cell>
          <cell r="D136" t="str">
            <v>detail</v>
          </cell>
          <cell r="E136" t="str">
            <v>liability</v>
          </cell>
        </row>
        <row r="137">
          <cell r="A137">
            <v>22003</v>
          </cell>
          <cell r="B137" t="str">
            <v>Accrued Interest Payable</v>
          </cell>
          <cell r="C137" t="str">
            <v>credit</v>
          </cell>
          <cell r="D137" t="str">
            <v>detail</v>
          </cell>
          <cell r="E137" t="str">
            <v>liability</v>
          </cell>
        </row>
        <row r="138">
          <cell r="A138">
            <v>23000</v>
          </cell>
          <cell r="B138" t="str">
            <v>Payable to Govenrment Institutions</v>
          </cell>
          <cell r="C138" t="str">
            <v>credit</v>
          </cell>
          <cell r="D138" t="str">
            <v>header</v>
          </cell>
          <cell r="E138" t="str">
            <v>liability</v>
          </cell>
        </row>
        <row r="139">
          <cell r="A139">
            <v>23001</v>
          </cell>
          <cell r="B139" t="str">
            <v>S S S, Medicare Premium Payable</v>
          </cell>
          <cell r="C139" t="str">
            <v>credit</v>
          </cell>
          <cell r="D139" t="str">
            <v>detail</v>
          </cell>
          <cell r="E139" t="str">
            <v>liability</v>
          </cell>
        </row>
        <row r="140">
          <cell r="A140">
            <v>23002</v>
          </cell>
          <cell r="B140" t="str">
            <v>S S S Loans Payable</v>
          </cell>
          <cell r="C140" t="str">
            <v>credit</v>
          </cell>
          <cell r="D140" t="str">
            <v>detail</v>
          </cell>
          <cell r="E140" t="str">
            <v>liability</v>
          </cell>
        </row>
        <row r="141">
          <cell r="A141">
            <v>23003</v>
          </cell>
          <cell r="B141" t="str">
            <v>Pag-ibig Fund Payable</v>
          </cell>
          <cell r="C141" t="str">
            <v>credit</v>
          </cell>
          <cell r="D141" t="str">
            <v>detail</v>
          </cell>
          <cell r="E141" t="str">
            <v>liability</v>
          </cell>
        </row>
        <row r="142">
          <cell r="A142">
            <v>23004</v>
          </cell>
          <cell r="B142" t="str">
            <v>Pag-ibig Loans Payable</v>
          </cell>
          <cell r="C142" t="str">
            <v>credit</v>
          </cell>
          <cell r="D142" t="str">
            <v>detail</v>
          </cell>
          <cell r="E142" t="str">
            <v>liability</v>
          </cell>
        </row>
        <row r="143">
          <cell r="A143">
            <v>23005</v>
          </cell>
          <cell r="B143" t="str">
            <v>Withholding Tax Payable</v>
          </cell>
          <cell r="C143" t="str">
            <v>credit</v>
          </cell>
          <cell r="D143" t="str">
            <v>detail</v>
          </cell>
          <cell r="E143" t="str">
            <v>liability</v>
          </cell>
        </row>
        <row r="144">
          <cell r="A144">
            <v>23006</v>
          </cell>
          <cell r="B144" t="str">
            <v>VAT Output Tax Payable</v>
          </cell>
          <cell r="C144" t="str">
            <v>credit</v>
          </cell>
          <cell r="D144" t="str">
            <v>detail</v>
          </cell>
          <cell r="E144" t="str">
            <v>liability</v>
          </cell>
        </row>
        <row r="145">
          <cell r="A145">
            <v>23007</v>
          </cell>
          <cell r="B145" t="str">
            <v>VAT-Input Tax</v>
          </cell>
          <cell r="C145" t="str">
            <v>credit</v>
          </cell>
          <cell r="D145" t="str">
            <v>detail</v>
          </cell>
          <cell r="E145" t="str">
            <v>liability</v>
          </cell>
        </row>
        <row r="146">
          <cell r="A146">
            <v>23008</v>
          </cell>
          <cell r="B146" t="str">
            <v>Income Tax Payable</v>
          </cell>
          <cell r="C146" t="str">
            <v>credit</v>
          </cell>
          <cell r="D146" t="str">
            <v>detail</v>
          </cell>
          <cell r="E146" t="str">
            <v>liability</v>
          </cell>
        </row>
        <row r="147">
          <cell r="A147">
            <v>23009</v>
          </cell>
          <cell r="B147" t="str">
            <v>Car Loan Payable</v>
          </cell>
          <cell r="C147" t="str">
            <v>credit</v>
          </cell>
          <cell r="D147" t="str">
            <v>detail</v>
          </cell>
          <cell r="E147" t="str">
            <v>liability</v>
          </cell>
        </row>
        <row r="148">
          <cell r="A148">
            <v>24000</v>
          </cell>
          <cell r="B148" t="str">
            <v>Other Current Liability</v>
          </cell>
          <cell r="C148" t="str">
            <v>credit</v>
          </cell>
          <cell r="D148" t="str">
            <v>header</v>
          </cell>
          <cell r="E148" t="str">
            <v>liability</v>
          </cell>
        </row>
        <row r="149">
          <cell r="A149">
            <v>24001</v>
          </cell>
          <cell r="B149" t="str">
            <v>Dividend Payable</v>
          </cell>
          <cell r="C149" t="str">
            <v>credit</v>
          </cell>
          <cell r="D149" t="str">
            <v>detail</v>
          </cell>
          <cell r="E149" t="str">
            <v>liability</v>
          </cell>
        </row>
        <row r="150">
          <cell r="A150">
            <v>25000</v>
          </cell>
          <cell r="B150" t="str">
            <v>Non-Current Liability</v>
          </cell>
          <cell r="C150" t="str">
            <v>credit</v>
          </cell>
          <cell r="D150" t="str">
            <v>header</v>
          </cell>
          <cell r="E150" t="str">
            <v>liability</v>
          </cell>
        </row>
        <row r="151">
          <cell r="A151">
            <v>25001</v>
          </cell>
          <cell r="B151" t="str">
            <v>Notes Payable-non-current</v>
          </cell>
          <cell r="C151" t="str">
            <v>credit</v>
          </cell>
          <cell r="D151" t="str">
            <v>detail</v>
          </cell>
          <cell r="E151" t="str">
            <v>liability</v>
          </cell>
        </row>
        <row r="152">
          <cell r="A152">
            <v>25002</v>
          </cell>
          <cell r="B152" t="str">
            <v>Bonds Payable</v>
          </cell>
          <cell r="C152" t="str">
            <v>credit</v>
          </cell>
          <cell r="D152" t="str">
            <v>detail</v>
          </cell>
          <cell r="E152" t="str">
            <v>liability</v>
          </cell>
        </row>
        <row r="153">
          <cell r="A153">
            <v>25003</v>
          </cell>
          <cell r="B153" t="str">
            <v>Interest on Notes Payable-noncurrent</v>
          </cell>
          <cell r="C153" t="str">
            <v>credit</v>
          </cell>
          <cell r="D153" t="str">
            <v>detail</v>
          </cell>
          <cell r="E153" t="str">
            <v>liability</v>
          </cell>
        </row>
        <row r="154">
          <cell r="A154">
            <v>25004</v>
          </cell>
          <cell r="B154" t="str">
            <v>Other Non-Current Liability</v>
          </cell>
          <cell r="C154" t="str">
            <v>credit</v>
          </cell>
          <cell r="D154" t="str">
            <v>detail</v>
          </cell>
          <cell r="E154" t="str">
            <v>liability</v>
          </cell>
        </row>
        <row r="155">
          <cell r="A155">
            <v>30000</v>
          </cell>
          <cell r="B155" t="str">
            <v>Equity</v>
          </cell>
          <cell r="C155" t="str">
            <v>credit</v>
          </cell>
          <cell r="D155" t="str">
            <v>header</v>
          </cell>
          <cell r="E155" t="str">
            <v>Equity</v>
          </cell>
        </row>
        <row r="156">
          <cell r="A156">
            <v>30001</v>
          </cell>
          <cell r="B156" t="str">
            <v>Capital Stock</v>
          </cell>
          <cell r="C156" t="str">
            <v>credit</v>
          </cell>
          <cell r="D156" t="str">
            <v>detail</v>
          </cell>
          <cell r="E156" t="str">
            <v>Equity</v>
          </cell>
        </row>
        <row r="157">
          <cell r="A157">
            <v>30002</v>
          </cell>
          <cell r="B157" t="str">
            <v>Additional Paid-In Capital</v>
          </cell>
          <cell r="C157" t="str">
            <v>credit</v>
          </cell>
          <cell r="D157" t="str">
            <v>detail</v>
          </cell>
          <cell r="E157" t="str">
            <v>Equity</v>
          </cell>
        </row>
        <row r="158">
          <cell r="A158">
            <v>30003</v>
          </cell>
          <cell r="B158" t="str">
            <v>Donated Capital</v>
          </cell>
          <cell r="C158" t="str">
            <v>credit</v>
          </cell>
          <cell r="D158" t="str">
            <v>detail</v>
          </cell>
          <cell r="E158" t="str">
            <v>Equity</v>
          </cell>
        </row>
        <row r="159">
          <cell r="A159">
            <v>30004</v>
          </cell>
          <cell r="B159" t="str">
            <v>Retained Earnings</v>
          </cell>
          <cell r="C159" t="str">
            <v>credit</v>
          </cell>
          <cell r="D159" t="str">
            <v>detail</v>
          </cell>
          <cell r="E159" t="str">
            <v>Equity</v>
          </cell>
        </row>
        <row r="160">
          <cell r="A160">
            <v>30005</v>
          </cell>
          <cell r="B160" t="str">
            <v>Dividend Paid</v>
          </cell>
          <cell r="C160" t="str">
            <v>credit</v>
          </cell>
          <cell r="D160" t="str">
            <v>detail</v>
          </cell>
          <cell r="E160" t="str">
            <v>Equity</v>
          </cell>
        </row>
        <row r="161">
          <cell r="A161">
            <v>30006</v>
          </cell>
          <cell r="B161" t="str">
            <v>Current Year Earnings</v>
          </cell>
          <cell r="C161" t="str">
            <v>credit</v>
          </cell>
          <cell r="D161" t="str">
            <v>detail</v>
          </cell>
          <cell r="E161" t="str">
            <v>Equity</v>
          </cell>
        </row>
        <row r="162">
          <cell r="A162">
            <v>30007</v>
          </cell>
          <cell r="B162" t="str">
            <v>Prior Period Adjustment</v>
          </cell>
          <cell r="C162" t="str">
            <v>credit</v>
          </cell>
          <cell r="D162" t="str">
            <v>detail</v>
          </cell>
          <cell r="E162" t="str">
            <v>Equity</v>
          </cell>
        </row>
        <row r="163">
          <cell r="A163">
            <v>40000</v>
          </cell>
          <cell r="B163" t="str">
            <v xml:space="preserve">Income  </v>
          </cell>
          <cell r="C163" t="str">
            <v>credit</v>
          </cell>
          <cell r="D163" t="str">
            <v>header</v>
          </cell>
          <cell r="E163" t="str">
            <v>Income</v>
          </cell>
        </row>
        <row r="164">
          <cell r="A164">
            <v>40001</v>
          </cell>
          <cell r="B164" t="str">
            <v>Sales Revenue</v>
          </cell>
          <cell r="C164" t="str">
            <v>credit</v>
          </cell>
          <cell r="D164" t="str">
            <v>detail</v>
          </cell>
          <cell r="E164" t="str">
            <v>Income</v>
          </cell>
        </row>
        <row r="165">
          <cell r="A165">
            <v>40002</v>
          </cell>
          <cell r="B165" t="str">
            <v>Sales Discount</v>
          </cell>
          <cell r="C165" t="str">
            <v>debit</v>
          </cell>
          <cell r="D165" t="str">
            <v>detail</v>
          </cell>
          <cell r="E165" t="str">
            <v>Income</v>
          </cell>
        </row>
        <row r="166">
          <cell r="A166">
            <v>40003</v>
          </cell>
          <cell r="B166" t="str">
            <v>Sales Returns &amp; Allowances</v>
          </cell>
          <cell r="C166" t="str">
            <v>debit</v>
          </cell>
          <cell r="D166" t="str">
            <v>detail</v>
          </cell>
          <cell r="E166" t="str">
            <v>Income</v>
          </cell>
        </row>
        <row r="167">
          <cell r="A167">
            <v>40004</v>
          </cell>
          <cell r="B167" t="str">
            <v>Profit and Loss Summary</v>
          </cell>
          <cell r="C167" t="str">
            <v>credit</v>
          </cell>
          <cell r="D167" t="str">
            <v>detail</v>
          </cell>
          <cell r="E167" t="str">
            <v>Income</v>
          </cell>
        </row>
        <row r="168">
          <cell r="A168">
            <v>40005</v>
          </cell>
          <cell r="B168" t="str">
            <v>Retroactive Currency Adjustment</v>
          </cell>
          <cell r="C168" t="str">
            <v>credit</v>
          </cell>
          <cell r="D168" t="str">
            <v>detail</v>
          </cell>
          <cell r="E168" t="str">
            <v>Income</v>
          </cell>
        </row>
        <row r="169">
          <cell r="A169">
            <v>50000</v>
          </cell>
          <cell r="B169" t="str">
            <v>Cost of Sales</v>
          </cell>
          <cell r="C169" t="str">
            <v>debit</v>
          </cell>
          <cell r="D169" t="str">
            <v>header</v>
          </cell>
          <cell r="E169" t="str">
            <v>Cost of Sales</v>
          </cell>
        </row>
        <row r="170">
          <cell r="A170">
            <v>51000</v>
          </cell>
          <cell r="B170" t="str">
            <v>Purchases</v>
          </cell>
          <cell r="C170" t="str">
            <v>debit</v>
          </cell>
          <cell r="D170" t="str">
            <v>header</v>
          </cell>
          <cell r="E170" t="str">
            <v>Cost of Sales</v>
          </cell>
        </row>
        <row r="171">
          <cell r="A171">
            <v>51001</v>
          </cell>
          <cell r="B171" t="str">
            <v>Purchases-Raw Materials - B</v>
          </cell>
          <cell r="C171" t="str">
            <v>debit</v>
          </cell>
          <cell r="D171" t="str">
            <v>detail</v>
          </cell>
          <cell r="E171" t="str">
            <v>Cost of Sales</v>
          </cell>
        </row>
        <row r="172">
          <cell r="A172">
            <v>51002</v>
          </cell>
          <cell r="B172" t="str">
            <v>Purchases-Raw Materials - T</v>
          </cell>
          <cell r="C172" t="str">
            <v>debit</v>
          </cell>
          <cell r="D172" t="str">
            <v>detail</v>
          </cell>
          <cell r="E172" t="str">
            <v>Cost of Sales</v>
          </cell>
        </row>
        <row r="173">
          <cell r="A173">
            <v>51003</v>
          </cell>
          <cell r="B173" t="str">
            <v>Purchases-Machines</v>
          </cell>
          <cell r="C173" t="str">
            <v>debit</v>
          </cell>
          <cell r="D173" t="str">
            <v>detail</v>
          </cell>
          <cell r="E173" t="str">
            <v>Cost of Sales</v>
          </cell>
        </row>
        <row r="174">
          <cell r="A174">
            <v>51004</v>
          </cell>
          <cell r="B174" t="str">
            <v>Purchases-Packaging</v>
          </cell>
          <cell r="C174" t="str">
            <v>debit</v>
          </cell>
          <cell r="D174" t="str">
            <v>detail</v>
          </cell>
          <cell r="E174" t="str">
            <v>Cost of Sales</v>
          </cell>
        </row>
        <row r="175">
          <cell r="A175">
            <v>51005</v>
          </cell>
          <cell r="B175" t="str">
            <v>Purchase Discount</v>
          </cell>
          <cell r="C175" t="str">
            <v>credit</v>
          </cell>
          <cell r="D175" t="str">
            <v>detail</v>
          </cell>
          <cell r="E175" t="str">
            <v>Cost of Sales</v>
          </cell>
        </row>
        <row r="176">
          <cell r="A176">
            <v>51006</v>
          </cell>
          <cell r="B176" t="str">
            <v>Purchase Returns &amp; Allowances</v>
          </cell>
          <cell r="C176" t="str">
            <v>credit</v>
          </cell>
          <cell r="D176" t="str">
            <v>detail</v>
          </cell>
          <cell r="E176" t="str">
            <v>Cost of Sales</v>
          </cell>
        </row>
        <row r="177">
          <cell r="A177">
            <v>51007</v>
          </cell>
          <cell r="B177" t="str">
            <v>Freight In (Vat)</v>
          </cell>
          <cell r="C177" t="str">
            <v>debit</v>
          </cell>
          <cell r="D177" t="str">
            <v>detail</v>
          </cell>
          <cell r="E177" t="str">
            <v>Cost of Sales</v>
          </cell>
        </row>
        <row r="178">
          <cell r="A178">
            <v>51008</v>
          </cell>
          <cell r="B178" t="str">
            <v>Direct Labor</v>
          </cell>
          <cell r="C178" t="str">
            <v>debit</v>
          </cell>
          <cell r="D178" t="str">
            <v>detail</v>
          </cell>
          <cell r="E178" t="str">
            <v>Cost of Sales</v>
          </cell>
        </row>
        <row r="179">
          <cell r="A179">
            <v>51009</v>
          </cell>
          <cell r="B179" t="str">
            <v>Customs Duties, Brokerage Fee&amp;Taxes</v>
          </cell>
          <cell r="C179" t="str">
            <v>debit</v>
          </cell>
          <cell r="D179" t="str">
            <v>detail</v>
          </cell>
          <cell r="E179" t="str">
            <v>Cost of Sales</v>
          </cell>
        </row>
        <row r="180">
          <cell r="A180">
            <v>51011</v>
          </cell>
          <cell r="B180" t="str">
            <v>Purchases - Spareparts</v>
          </cell>
          <cell r="C180" t="str">
            <v>debit</v>
          </cell>
          <cell r="D180" t="str">
            <v>detail</v>
          </cell>
          <cell r="E180" t="str">
            <v>Cost of Sales</v>
          </cell>
        </row>
        <row r="181">
          <cell r="A181">
            <v>51010</v>
          </cell>
          <cell r="B181" t="str">
            <v>Freight In (Non-Vat)</v>
          </cell>
          <cell r="C181" t="str">
            <v>debit</v>
          </cell>
          <cell r="D181" t="str">
            <v>detail</v>
          </cell>
          <cell r="E181" t="str">
            <v>Cost of Sales</v>
          </cell>
        </row>
        <row r="182">
          <cell r="A182">
            <v>51012</v>
          </cell>
          <cell r="B182" t="str">
            <v>Purchases - Service</v>
          </cell>
          <cell r="C182" t="str">
            <v>debit</v>
          </cell>
          <cell r="D182" t="str">
            <v>detail</v>
          </cell>
          <cell r="E182" t="str">
            <v>Cost of Sales</v>
          </cell>
        </row>
        <row r="183">
          <cell r="A183">
            <v>52000</v>
          </cell>
          <cell r="B183" t="str">
            <v>Factory Overhead Control</v>
          </cell>
          <cell r="C183" t="str">
            <v>debit</v>
          </cell>
          <cell r="D183" t="str">
            <v>header</v>
          </cell>
          <cell r="E183" t="str">
            <v>Cost of Sales</v>
          </cell>
        </row>
        <row r="184">
          <cell r="A184">
            <v>52001</v>
          </cell>
          <cell r="B184" t="str">
            <v>Salaries and Wages-Factory</v>
          </cell>
          <cell r="C184" t="str">
            <v>debit</v>
          </cell>
          <cell r="D184" t="str">
            <v>detail</v>
          </cell>
          <cell r="E184" t="str">
            <v>Cost of Sales</v>
          </cell>
        </row>
        <row r="185">
          <cell r="A185">
            <v>52002</v>
          </cell>
          <cell r="B185" t="str">
            <v xml:space="preserve">Factory Supplies  </v>
          </cell>
          <cell r="C185" t="str">
            <v>debit</v>
          </cell>
          <cell r="D185" t="str">
            <v>detail</v>
          </cell>
          <cell r="E185" t="str">
            <v>Cost of Sales</v>
          </cell>
        </row>
        <row r="186">
          <cell r="A186">
            <v>52005</v>
          </cell>
          <cell r="B186" t="str">
            <v>Tools Expense-Factory</v>
          </cell>
          <cell r="C186" t="str">
            <v>debit</v>
          </cell>
          <cell r="D186" t="str">
            <v>detail</v>
          </cell>
          <cell r="E186" t="str">
            <v>Cost of Sales</v>
          </cell>
        </row>
        <row r="187">
          <cell r="A187">
            <v>52006</v>
          </cell>
          <cell r="B187" t="str">
            <v>Insurance Expense</v>
          </cell>
          <cell r="C187" t="str">
            <v>debit</v>
          </cell>
          <cell r="D187" t="str">
            <v>detail</v>
          </cell>
          <cell r="E187" t="str">
            <v>Cost of Sales</v>
          </cell>
        </row>
        <row r="188">
          <cell r="A188">
            <v>52007</v>
          </cell>
          <cell r="B188" t="str">
            <v>Depreciation-Machinery &amp; Equipment</v>
          </cell>
          <cell r="C188" t="str">
            <v>debit</v>
          </cell>
          <cell r="D188" t="str">
            <v>detail</v>
          </cell>
          <cell r="E188" t="str">
            <v>Cost of Sales</v>
          </cell>
        </row>
        <row r="189">
          <cell r="A189">
            <v>52008</v>
          </cell>
          <cell r="B189" t="str">
            <v>Depreciation-Factory Furniture</v>
          </cell>
          <cell r="C189" t="str">
            <v>debit</v>
          </cell>
          <cell r="D189" t="str">
            <v>detail</v>
          </cell>
          <cell r="E189" t="str">
            <v>Cost of Sales</v>
          </cell>
        </row>
        <row r="190">
          <cell r="A190">
            <v>52009</v>
          </cell>
          <cell r="B190" t="str">
            <v>Repairs &amp; Mainte.-Machinery&amp;Equipt.</v>
          </cell>
          <cell r="C190" t="str">
            <v>debit</v>
          </cell>
          <cell r="D190" t="str">
            <v>detail</v>
          </cell>
          <cell r="E190" t="str">
            <v>Cost of Sales</v>
          </cell>
        </row>
        <row r="191">
          <cell r="A191">
            <v>52010</v>
          </cell>
          <cell r="B191" t="str">
            <v>Repairs &amp; Maintenance-Factory Furniture</v>
          </cell>
          <cell r="C191" t="str">
            <v>debit</v>
          </cell>
          <cell r="D191" t="str">
            <v>detail</v>
          </cell>
          <cell r="E191" t="str">
            <v>Cost of Sales</v>
          </cell>
        </row>
        <row r="192">
          <cell r="A192">
            <v>52011</v>
          </cell>
          <cell r="B192" t="str">
            <v>Repairs &amp; Maintenance-L I Factory</v>
          </cell>
          <cell r="C192" t="str">
            <v>debit</v>
          </cell>
          <cell r="D192" t="str">
            <v>detail</v>
          </cell>
          <cell r="E192" t="str">
            <v>Cost of Sales</v>
          </cell>
        </row>
        <row r="193">
          <cell r="A193">
            <v>52012</v>
          </cell>
          <cell r="B193" t="str">
            <v>Rent Expense-Factory</v>
          </cell>
          <cell r="C193" t="str">
            <v>debit</v>
          </cell>
          <cell r="D193" t="str">
            <v>detail</v>
          </cell>
          <cell r="E193" t="str">
            <v>Cost of Sales</v>
          </cell>
        </row>
        <row r="194">
          <cell r="A194">
            <v>52013</v>
          </cell>
          <cell r="B194" t="str">
            <v>Amortization-L I Factory</v>
          </cell>
          <cell r="C194" t="str">
            <v>debit</v>
          </cell>
          <cell r="D194" t="str">
            <v>detail</v>
          </cell>
          <cell r="E194" t="str">
            <v>Cost of Sales</v>
          </cell>
        </row>
        <row r="195">
          <cell r="A195">
            <v>52014</v>
          </cell>
          <cell r="B195" t="str">
            <v xml:space="preserve">Spare Parts  </v>
          </cell>
          <cell r="C195" t="str">
            <v>debit</v>
          </cell>
          <cell r="D195" t="str">
            <v>detail</v>
          </cell>
          <cell r="E195" t="str">
            <v>Cost of Sales</v>
          </cell>
        </row>
        <row r="196">
          <cell r="A196">
            <v>52015</v>
          </cell>
          <cell r="B196" t="str">
            <v>Miscellaneous-Factory</v>
          </cell>
          <cell r="C196" t="str">
            <v>debit</v>
          </cell>
          <cell r="D196" t="str">
            <v>detail</v>
          </cell>
          <cell r="E196" t="str">
            <v>Cost of Sales</v>
          </cell>
        </row>
        <row r="197">
          <cell r="A197">
            <v>52016</v>
          </cell>
          <cell r="B197" t="str">
            <v>Telephone &amp; Telegraph - Factory</v>
          </cell>
          <cell r="C197" t="str">
            <v>debit</v>
          </cell>
          <cell r="D197" t="str">
            <v>detail</v>
          </cell>
          <cell r="E197" t="str">
            <v>Cost of Sales</v>
          </cell>
        </row>
        <row r="198">
          <cell r="A198">
            <v>60000</v>
          </cell>
          <cell r="B198" t="str">
            <v>Expenses</v>
          </cell>
          <cell r="C198" t="str">
            <v>debit</v>
          </cell>
          <cell r="D198" t="str">
            <v>header</v>
          </cell>
          <cell r="E198" t="str">
            <v>Expense</v>
          </cell>
        </row>
        <row r="199">
          <cell r="A199">
            <v>60001</v>
          </cell>
          <cell r="B199" t="str">
            <v xml:space="preserve">Salaries and Wages  </v>
          </cell>
          <cell r="C199" t="str">
            <v>debit</v>
          </cell>
          <cell r="D199" t="str">
            <v>detail</v>
          </cell>
          <cell r="E199" t="str">
            <v>Expense</v>
          </cell>
        </row>
        <row r="200">
          <cell r="A200">
            <v>60002</v>
          </cell>
          <cell r="B200" t="str">
            <v>Sales Commissin Expense</v>
          </cell>
          <cell r="C200" t="str">
            <v>debit</v>
          </cell>
          <cell r="D200" t="str">
            <v>detail</v>
          </cell>
          <cell r="E200" t="str">
            <v>Expense</v>
          </cell>
        </row>
        <row r="201">
          <cell r="A201">
            <v>60003</v>
          </cell>
          <cell r="B201" t="str">
            <v>Telephone &amp; Telegraph</v>
          </cell>
          <cell r="C201" t="str">
            <v>debit</v>
          </cell>
          <cell r="D201" t="str">
            <v>detail</v>
          </cell>
          <cell r="E201" t="str">
            <v>Expense</v>
          </cell>
        </row>
        <row r="202">
          <cell r="A202">
            <v>60004</v>
          </cell>
          <cell r="B202" t="str">
            <v>Postage &amp; Delivery</v>
          </cell>
          <cell r="C202" t="str">
            <v>debit</v>
          </cell>
          <cell r="D202" t="str">
            <v>detail</v>
          </cell>
          <cell r="E202" t="str">
            <v>Expense</v>
          </cell>
        </row>
        <row r="203">
          <cell r="A203">
            <v>60005</v>
          </cell>
          <cell r="B203" t="str">
            <v>Freight Out</v>
          </cell>
          <cell r="C203" t="str">
            <v>debit</v>
          </cell>
          <cell r="D203" t="str">
            <v>detail</v>
          </cell>
          <cell r="E203" t="str">
            <v>Expense</v>
          </cell>
        </row>
        <row r="204">
          <cell r="A204">
            <v>60006</v>
          </cell>
          <cell r="B204" t="str">
            <v>Power, Light &amp; Water</v>
          </cell>
          <cell r="C204" t="str">
            <v>debit</v>
          </cell>
          <cell r="D204" t="str">
            <v>detail</v>
          </cell>
          <cell r="E204" t="str">
            <v>Expense</v>
          </cell>
        </row>
        <row r="205">
          <cell r="A205">
            <v>60007</v>
          </cell>
          <cell r="B205" t="str">
            <v>Gasoline Expense</v>
          </cell>
          <cell r="C205" t="str">
            <v>debit</v>
          </cell>
          <cell r="D205" t="str">
            <v>detail</v>
          </cell>
          <cell r="E205" t="str">
            <v>Expense</v>
          </cell>
        </row>
        <row r="206">
          <cell r="A206">
            <v>60008</v>
          </cell>
          <cell r="B206" t="str">
            <v>Transportation &amp; Traveling</v>
          </cell>
          <cell r="C206" t="str">
            <v>debit</v>
          </cell>
          <cell r="D206" t="str">
            <v>detail</v>
          </cell>
          <cell r="E206" t="str">
            <v>Expense</v>
          </cell>
        </row>
        <row r="207">
          <cell r="A207">
            <v>60009</v>
          </cell>
          <cell r="B207" t="str">
            <v>Employees' Benefits</v>
          </cell>
          <cell r="C207" t="str">
            <v>debit</v>
          </cell>
          <cell r="D207" t="str">
            <v>detail</v>
          </cell>
          <cell r="E207" t="str">
            <v>Expense</v>
          </cell>
        </row>
        <row r="208">
          <cell r="A208">
            <v>60010</v>
          </cell>
          <cell r="B208" t="str">
            <v>Representation &amp; Entertainment</v>
          </cell>
          <cell r="C208" t="str">
            <v>debit</v>
          </cell>
          <cell r="D208" t="str">
            <v>detail</v>
          </cell>
          <cell r="E208" t="str">
            <v>Expense</v>
          </cell>
        </row>
        <row r="209">
          <cell r="A209">
            <v>60011</v>
          </cell>
          <cell r="B209" t="str">
            <v>Taxes &amp; Licenses</v>
          </cell>
          <cell r="C209" t="str">
            <v>debit</v>
          </cell>
          <cell r="D209" t="str">
            <v>detail</v>
          </cell>
          <cell r="E209" t="str">
            <v>Expense</v>
          </cell>
        </row>
        <row r="210">
          <cell r="A210">
            <v>60012</v>
          </cell>
          <cell r="B210" t="str">
            <v>Subscription Fees</v>
          </cell>
          <cell r="C210" t="str">
            <v>debit</v>
          </cell>
          <cell r="D210" t="str">
            <v>detail</v>
          </cell>
          <cell r="E210" t="str">
            <v>Expense</v>
          </cell>
        </row>
        <row r="211">
          <cell r="A211">
            <v>60013</v>
          </cell>
          <cell r="B211" t="str">
            <v>Professional &amp; Legal Fees</v>
          </cell>
          <cell r="C211" t="str">
            <v>debit</v>
          </cell>
          <cell r="D211" t="str">
            <v>detail</v>
          </cell>
          <cell r="E211" t="str">
            <v>Expense</v>
          </cell>
        </row>
        <row r="212">
          <cell r="A212">
            <v>60014</v>
          </cell>
          <cell r="B212" t="str">
            <v>Office Supplies Expense</v>
          </cell>
          <cell r="C212" t="str">
            <v>debit</v>
          </cell>
          <cell r="D212" t="str">
            <v>detail</v>
          </cell>
          <cell r="E212" t="str">
            <v>Expense</v>
          </cell>
        </row>
        <row r="213">
          <cell r="A213">
            <v>60015</v>
          </cell>
          <cell r="B213" t="str">
            <v>Food &amp; Maintenance Supply Expense</v>
          </cell>
          <cell r="C213" t="str">
            <v>debit</v>
          </cell>
          <cell r="D213" t="str">
            <v>detail</v>
          </cell>
          <cell r="E213" t="str">
            <v>Expense</v>
          </cell>
        </row>
        <row r="214">
          <cell r="A214">
            <v>60016</v>
          </cell>
          <cell r="B214" t="str">
            <v>SSS, Med. &amp; EC Contribution</v>
          </cell>
          <cell r="C214" t="str">
            <v>debit</v>
          </cell>
          <cell r="D214" t="str">
            <v>detail</v>
          </cell>
          <cell r="E214" t="str">
            <v>Expense</v>
          </cell>
        </row>
        <row r="215">
          <cell r="A215">
            <v>60028</v>
          </cell>
          <cell r="B215" t="str">
            <v>Pag-Ibig Fund Contribution</v>
          </cell>
          <cell r="C215" t="str">
            <v>debit</v>
          </cell>
          <cell r="D215" t="str">
            <v>detail</v>
          </cell>
          <cell r="E215" t="str">
            <v>Expense</v>
          </cell>
        </row>
        <row r="216">
          <cell r="A216">
            <v>60017</v>
          </cell>
          <cell r="B216" t="str">
            <v>Rent Expense-Office</v>
          </cell>
          <cell r="C216" t="str">
            <v>debit</v>
          </cell>
          <cell r="D216" t="str">
            <v>detail</v>
          </cell>
          <cell r="E216" t="str">
            <v>Expense</v>
          </cell>
        </row>
        <row r="217">
          <cell r="A217">
            <v>60018</v>
          </cell>
          <cell r="B217" t="str">
            <v>Advertising Expense</v>
          </cell>
          <cell r="C217" t="str">
            <v>debit</v>
          </cell>
          <cell r="D217" t="str">
            <v>detail</v>
          </cell>
          <cell r="E217" t="str">
            <v>Expense</v>
          </cell>
        </row>
        <row r="218">
          <cell r="A218">
            <v>60019</v>
          </cell>
          <cell r="B218" t="str">
            <v>Bank Charges</v>
          </cell>
          <cell r="C218" t="str">
            <v>debit</v>
          </cell>
          <cell r="D218" t="str">
            <v>detail</v>
          </cell>
          <cell r="E218" t="str">
            <v>Expense</v>
          </cell>
        </row>
        <row r="219">
          <cell r="A219">
            <v>60020</v>
          </cell>
          <cell r="B219" t="str">
            <v>Sample Expense</v>
          </cell>
          <cell r="C219" t="str">
            <v>debit</v>
          </cell>
          <cell r="D219" t="str">
            <v>detail</v>
          </cell>
          <cell r="E219" t="str">
            <v>Expense</v>
          </cell>
        </row>
        <row r="220">
          <cell r="A220">
            <v>60021</v>
          </cell>
          <cell r="B220" t="str">
            <v>Donations &amp; Contributions</v>
          </cell>
          <cell r="C220" t="str">
            <v>debit</v>
          </cell>
          <cell r="D220" t="str">
            <v>detail</v>
          </cell>
          <cell r="E220" t="str">
            <v>Expense</v>
          </cell>
        </row>
        <row r="221">
          <cell r="A221">
            <v>60022</v>
          </cell>
          <cell r="B221" t="str">
            <v>Bad Debts Expense</v>
          </cell>
          <cell r="C221" t="str">
            <v>debit</v>
          </cell>
          <cell r="D221" t="str">
            <v>detail</v>
          </cell>
          <cell r="E221" t="str">
            <v>Expense</v>
          </cell>
        </row>
        <row r="222">
          <cell r="A222">
            <v>60024</v>
          </cell>
          <cell r="B222" t="str">
            <v>Utility Expense</v>
          </cell>
          <cell r="C222" t="str">
            <v>debit</v>
          </cell>
          <cell r="D222" t="str">
            <v>detail</v>
          </cell>
          <cell r="E222" t="str">
            <v>Expense</v>
          </cell>
        </row>
        <row r="223">
          <cell r="A223">
            <v>60025</v>
          </cell>
          <cell r="B223" t="str">
            <v>Documentary Stamp &amp; LGT</v>
          </cell>
          <cell r="C223" t="str">
            <v>debit</v>
          </cell>
          <cell r="D223" t="str">
            <v>detail</v>
          </cell>
          <cell r="E223" t="str">
            <v>Expense</v>
          </cell>
        </row>
        <row r="224">
          <cell r="A224">
            <v>60026</v>
          </cell>
          <cell r="B224" t="str">
            <v>Registration and Processing Fee</v>
          </cell>
          <cell r="C224" t="str">
            <v>debit</v>
          </cell>
          <cell r="D224" t="str">
            <v>detail</v>
          </cell>
          <cell r="E224" t="str">
            <v>Expense</v>
          </cell>
        </row>
        <row r="225">
          <cell r="A225">
            <v>60027</v>
          </cell>
          <cell r="B225" t="str">
            <v xml:space="preserve">Technical Supplies </v>
          </cell>
          <cell r="C225" t="str">
            <v>debit</v>
          </cell>
          <cell r="D225" t="str">
            <v>detail</v>
          </cell>
          <cell r="E225" t="str">
            <v>Expense</v>
          </cell>
        </row>
        <row r="226">
          <cell r="A226">
            <v>60031</v>
          </cell>
          <cell r="B226" t="str">
            <v>Towing Expense</v>
          </cell>
          <cell r="C226" t="str">
            <v>debit</v>
          </cell>
          <cell r="D226" t="str">
            <v>detail</v>
          </cell>
          <cell r="E226" t="str">
            <v>Expense</v>
          </cell>
        </row>
        <row r="227">
          <cell r="A227">
            <v>60029</v>
          </cell>
          <cell r="B227" t="str">
            <v>Promotional and Marketing Expense</v>
          </cell>
          <cell r="C227" t="str">
            <v>debit</v>
          </cell>
          <cell r="D227" t="str">
            <v>detail</v>
          </cell>
          <cell r="E227" t="str">
            <v>Expense</v>
          </cell>
        </row>
        <row r="228">
          <cell r="A228">
            <v>60030</v>
          </cell>
          <cell r="B228" t="str">
            <v>13th Month Pay</v>
          </cell>
          <cell r="C228" t="str">
            <v>debit</v>
          </cell>
          <cell r="D228" t="str">
            <v>detail</v>
          </cell>
          <cell r="E228" t="str">
            <v>Expense</v>
          </cell>
        </row>
        <row r="229">
          <cell r="A229">
            <v>61000</v>
          </cell>
          <cell r="B229" t="str">
            <v>Repairs &amp; Maintenance-Office</v>
          </cell>
          <cell r="C229" t="str">
            <v>debit</v>
          </cell>
          <cell r="D229" t="str">
            <v>header</v>
          </cell>
          <cell r="E229" t="str">
            <v>Expense</v>
          </cell>
        </row>
        <row r="230">
          <cell r="A230">
            <v>61001</v>
          </cell>
          <cell r="B230" t="str">
            <v>Repairs &amp; Maintenance-Automobiles</v>
          </cell>
          <cell r="C230" t="str">
            <v>debit</v>
          </cell>
          <cell r="D230" t="str">
            <v>detail</v>
          </cell>
          <cell r="E230" t="str">
            <v>Expense</v>
          </cell>
        </row>
        <row r="231">
          <cell r="A231">
            <v>61002</v>
          </cell>
          <cell r="B231" t="str">
            <v>Repairs &amp; Maintenance-Office Furnitures</v>
          </cell>
          <cell r="C231" t="str">
            <v>debit</v>
          </cell>
          <cell r="D231" t="str">
            <v>detail</v>
          </cell>
          <cell r="E231" t="str">
            <v>Expense</v>
          </cell>
        </row>
        <row r="232">
          <cell r="A232">
            <v>61003</v>
          </cell>
          <cell r="B232" t="str">
            <v>Repairs &amp; Maintenance-Office Equipment</v>
          </cell>
          <cell r="C232" t="str">
            <v>debit</v>
          </cell>
          <cell r="D232" t="str">
            <v>detail</v>
          </cell>
          <cell r="E232" t="str">
            <v>Expense</v>
          </cell>
        </row>
        <row r="233">
          <cell r="A233">
            <v>61004</v>
          </cell>
          <cell r="B233" t="str">
            <v>Repairs &amp; Maintenance-L I Office</v>
          </cell>
          <cell r="C233" t="str">
            <v>debit</v>
          </cell>
          <cell r="D233" t="str">
            <v>detail</v>
          </cell>
          <cell r="E233" t="str">
            <v>Expense</v>
          </cell>
        </row>
        <row r="234">
          <cell r="A234">
            <v>62000</v>
          </cell>
          <cell r="B234" t="str">
            <v>Depreciation Expense-Office</v>
          </cell>
          <cell r="C234" t="str">
            <v>debit</v>
          </cell>
          <cell r="D234" t="str">
            <v>header</v>
          </cell>
          <cell r="E234" t="str">
            <v>Expense</v>
          </cell>
        </row>
        <row r="235">
          <cell r="A235">
            <v>62001</v>
          </cell>
          <cell r="B235" t="str">
            <v>Depreciation Expense-Automobiles</v>
          </cell>
          <cell r="C235" t="str">
            <v>debit</v>
          </cell>
          <cell r="D235" t="str">
            <v>detail</v>
          </cell>
          <cell r="E235" t="str">
            <v>Expense</v>
          </cell>
        </row>
        <row r="236">
          <cell r="A236">
            <v>62002</v>
          </cell>
          <cell r="B236" t="str">
            <v>Depreciation Expense-Office Furnitures</v>
          </cell>
          <cell r="C236" t="str">
            <v>debit</v>
          </cell>
          <cell r="D236" t="str">
            <v>detail</v>
          </cell>
          <cell r="E236" t="str">
            <v>Expense</v>
          </cell>
        </row>
        <row r="237">
          <cell r="A237">
            <v>62003</v>
          </cell>
          <cell r="B237" t="str">
            <v>Depreciation Expense-Office Equipment</v>
          </cell>
          <cell r="C237" t="str">
            <v>debit</v>
          </cell>
          <cell r="D237" t="str">
            <v>detail</v>
          </cell>
          <cell r="E237" t="str">
            <v>Expense</v>
          </cell>
        </row>
        <row r="238">
          <cell r="A238">
            <v>62004</v>
          </cell>
          <cell r="B238" t="str">
            <v>Amortization Expense-L I Office</v>
          </cell>
          <cell r="C238" t="str">
            <v>debit</v>
          </cell>
          <cell r="D238" t="str">
            <v>detail</v>
          </cell>
          <cell r="E238" t="str">
            <v>Expense</v>
          </cell>
        </row>
        <row r="239">
          <cell r="A239">
            <v>62005</v>
          </cell>
          <cell r="B239" t="str">
            <v>Miscellaneous Expense</v>
          </cell>
          <cell r="C239" t="str">
            <v>debit</v>
          </cell>
          <cell r="D239" t="str">
            <v>detail</v>
          </cell>
          <cell r="E239" t="str">
            <v>Expense</v>
          </cell>
        </row>
        <row r="240">
          <cell r="A240">
            <v>62006</v>
          </cell>
          <cell r="B240" t="str">
            <v>Interest Expense</v>
          </cell>
          <cell r="C240" t="str">
            <v>debit</v>
          </cell>
          <cell r="D240" t="str">
            <v>detail</v>
          </cell>
          <cell r="E240" t="str">
            <v>Expense</v>
          </cell>
        </row>
        <row r="241">
          <cell r="A241">
            <v>62007</v>
          </cell>
          <cell r="B241" t="str">
            <v>Year-end Expense</v>
          </cell>
          <cell r="C241" t="str">
            <v>debit</v>
          </cell>
          <cell r="D241" t="str">
            <v>detail</v>
          </cell>
          <cell r="E241" t="str">
            <v>Expense</v>
          </cell>
        </row>
        <row r="242">
          <cell r="A242">
            <v>63000</v>
          </cell>
          <cell r="B242" t="str">
            <v>Research &amp; Development</v>
          </cell>
          <cell r="C242" t="str">
            <v>debit</v>
          </cell>
          <cell r="D242" t="str">
            <v>header</v>
          </cell>
          <cell r="E242" t="str">
            <v>Expense</v>
          </cell>
        </row>
        <row r="243">
          <cell r="A243">
            <v>63001</v>
          </cell>
          <cell r="B243" t="str">
            <v>R &amp; D Supplies Expense</v>
          </cell>
          <cell r="C243" t="str">
            <v>debit</v>
          </cell>
          <cell r="D243" t="str">
            <v>detail</v>
          </cell>
          <cell r="E243" t="str">
            <v>Expense</v>
          </cell>
        </row>
        <row r="244">
          <cell r="A244">
            <v>63002</v>
          </cell>
          <cell r="B244" t="str">
            <v>Repairs &amp; Maintenance-R&amp;D Furn &amp; Equipt</v>
          </cell>
          <cell r="C244" t="str">
            <v>debit</v>
          </cell>
          <cell r="D244" t="str">
            <v>detail</v>
          </cell>
          <cell r="E244" t="str">
            <v>Expense</v>
          </cell>
        </row>
        <row r="245">
          <cell r="A245">
            <v>63003</v>
          </cell>
          <cell r="B245" t="str">
            <v>Depreciation-R&amp;D Furn &amp; Equipt</v>
          </cell>
          <cell r="C245" t="str">
            <v>debit</v>
          </cell>
          <cell r="D245" t="str">
            <v>detail</v>
          </cell>
          <cell r="E245" t="str">
            <v>Expense</v>
          </cell>
        </row>
        <row r="246">
          <cell r="A246">
            <v>70000</v>
          </cell>
          <cell r="B246" t="str">
            <v>Other Income</v>
          </cell>
          <cell r="C246" t="str">
            <v>credit</v>
          </cell>
          <cell r="D246" t="str">
            <v>header</v>
          </cell>
          <cell r="E246" t="str">
            <v>Other Income</v>
          </cell>
        </row>
        <row r="247">
          <cell r="A247">
            <v>70001</v>
          </cell>
          <cell r="B247" t="str">
            <v>Interest Income</v>
          </cell>
          <cell r="C247" t="str">
            <v>credit</v>
          </cell>
          <cell r="D247" t="str">
            <v>detail</v>
          </cell>
          <cell r="E247" t="str">
            <v>Other Income</v>
          </cell>
        </row>
        <row r="248">
          <cell r="A248">
            <v>70002</v>
          </cell>
          <cell r="B248" t="str">
            <v>Commission Income</v>
          </cell>
          <cell r="C248" t="str">
            <v>credit</v>
          </cell>
          <cell r="D248" t="str">
            <v>detail</v>
          </cell>
          <cell r="E248" t="str">
            <v>Other Income</v>
          </cell>
        </row>
        <row r="249">
          <cell r="A249">
            <v>70003</v>
          </cell>
          <cell r="B249" t="str">
            <v>Service Income</v>
          </cell>
          <cell r="C249" t="str">
            <v>credit</v>
          </cell>
          <cell r="D249" t="str">
            <v>detail</v>
          </cell>
          <cell r="E249" t="str">
            <v>Other Income</v>
          </cell>
        </row>
        <row r="250">
          <cell r="A250">
            <v>70004</v>
          </cell>
          <cell r="B250" t="str">
            <v>Dividend Income</v>
          </cell>
          <cell r="C250" t="str">
            <v>credit</v>
          </cell>
          <cell r="D250" t="str">
            <v>detail</v>
          </cell>
          <cell r="E250" t="str">
            <v>Other Income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-OUTPUT"/>
      <sheetName val="ok&gt;outp1"/>
      <sheetName val="ok&gt;inp1"/>
      <sheetName val="Import vat"/>
      <sheetName val="Table"/>
      <sheetName val="Output VAT"/>
      <sheetName val="outp"/>
      <sheetName val="2003Sales"/>
      <sheetName val="inp 2002"/>
      <sheetName val="inp2004 dummy"/>
      <sheetName val="inp 2004"/>
      <sheetName val="2003scratch"/>
      <sheetName val="4printing"/>
      <sheetName val="4print"/>
      <sheetName val="2000outputsaver"/>
      <sheetName val="source"/>
      <sheetName val="Working papers"/>
      <sheetName val="Sheet14"/>
      <sheetName val="Sheet15"/>
      <sheetName val="Sheet16"/>
      <sheetName val="apr0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FM Corporation_Calbayog - July"/>
      <sheetName val="CMD"/>
      <sheetName val="Salesperson"/>
      <sheetName val="Pricelist"/>
      <sheetName val="DR"/>
      <sheetName val="CM"/>
      <sheetName val="Transfer"/>
      <sheetName val="Sheet7"/>
      <sheetName val="Sheet6"/>
      <sheetName val="Sheet2"/>
      <sheetName val="Invoice"/>
      <sheetName val="Summary"/>
      <sheetName val="SOH"/>
      <sheetName val="Sheet3"/>
      <sheetName val="Daily"/>
      <sheetName val="Generated SOH"/>
      <sheetName val="Checker"/>
      <sheetName val="WH Count"/>
      <sheetName val="CountSheet"/>
      <sheetName val="Sheet1"/>
      <sheetName val="Transaction Register"/>
      <sheetName val="Invoice Summary per Salesman"/>
      <sheetName val="Printable Pricelist"/>
      <sheetName val="Invoice (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06"/>
      <sheetName val="may06"/>
      <sheetName val="june06"/>
      <sheetName val="2005"/>
      <sheetName val="Payee_list"/>
      <sheetName val="summary"/>
      <sheetName val="jansum"/>
      <sheetName val="febsum"/>
      <sheetName val="marsum"/>
      <sheetName val="Sheet1"/>
      <sheetName val="aprilsum"/>
      <sheetName val="maysum"/>
      <sheetName val="junesum"/>
      <sheetName val="julysum"/>
    </sheetNames>
    <sheetDataSet>
      <sheetData sheetId="0" refreshError="1">
        <row r="1">
          <cell r="A1" t="str">
            <v>VERSA GROUP PHILS. CORP.</v>
          </cell>
        </row>
        <row r="2">
          <cell r="A2" t="str">
            <v>SCHEDULE OF VAT-INPUT TAX (LOCAL)</v>
          </cell>
        </row>
        <row r="3">
          <cell r="A3" t="str">
            <v>FOR THE MONTH OF APRIL 2006</v>
          </cell>
        </row>
        <row r="5">
          <cell r="A5" t="str">
            <v>DATE</v>
          </cell>
          <cell r="B5" t="str">
            <v>PAYEE</v>
          </cell>
          <cell r="C5" t="str">
            <v>REF.</v>
          </cell>
          <cell r="D5" t="str">
            <v>ADDRESS</v>
          </cell>
        </row>
        <row r="7">
          <cell r="A7">
            <v>38786</v>
          </cell>
          <cell r="B7" t="str">
            <v>NS Ocana, Inc.</v>
          </cell>
          <cell r="C7" t="str">
            <v>RCA# 710</v>
          </cell>
          <cell r="D7" t="str">
            <v>Greenfield Bldg., 254 Sen. Gil Puyat Ave. Makati City</v>
          </cell>
        </row>
        <row r="8">
          <cell r="A8">
            <v>38798</v>
          </cell>
          <cell r="B8" t="str">
            <v>Goldilocks Bakeshop</v>
          </cell>
          <cell r="C8">
            <v>763</v>
          </cell>
          <cell r="D8" t="str">
            <v>1034 Gen. San Miguel Cal. City</v>
          </cell>
        </row>
        <row r="9">
          <cell r="A9">
            <v>38799</v>
          </cell>
          <cell r="B9" t="str">
            <v>Wide Wide World</v>
          </cell>
          <cell r="C9">
            <v>783</v>
          </cell>
          <cell r="D9" t="str">
            <v>Pascor Drive, Sto. Nino Paranaque MM</v>
          </cell>
        </row>
        <row r="10">
          <cell r="A10">
            <v>38800</v>
          </cell>
          <cell r="B10" t="str">
            <v>Prince Laurent Multiproducts</v>
          </cell>
          <cell r="C10">
            <v>787</v>
          </cell>
          <cell r="D10" t="str">
            <v>849 C. Planas St., San Nicolas, Manila</v>
          </cell>
        </row>
        <row r="11">
          <cell r="A11">
            <v>38800</v>
          </cell>
          <cell r="B11" t="str">
            <v>SuperSale Club</v>
          </cell>
          <cell r="C11">
            <v>787</v>
          </cell>
          <cell r="D11" t="str">
            <v>North Ave. cor. Edsa, QC</v>
          </cell>
        </row>
        <row r="12">
          <cell r="A12">
            <v>38812</v>
          </cell>
          <cell r="B12" t="str">
            <v>Meralco</v>
          </cell>
          <cell r="C12" t="str">
            <v>CV# 7734</v>
          </cell>
          <cell r="D12" t="str">
            <v>Ortigas Ave. Pasig City</v>
          </cell>
        </row>
        <row r="13">
          <cell r="A13">
            <v>38814</v>
          </cell>
          <cell r="B13" t="str">
            <v>PLDT</v>
          </cell>
          <cell r="C13">
            <v>7746</v>
          </cell>
          <cell r="D13" t="str">
            <v>Legaspi cor. Dela Rosa St., Makati City</v>
          </cell>
        </row>
        <row r="14">
          <cell r="A14">
            <v>38803</v>
          </cell>
          <cell r="B14" t="str">
            <v>Floro Blue Printing</v>
          </cell>
          <cell r="C14" t="str">
            <v>RCA# 791</v>
          </cell>
          <cell r="D14" t="str">
            <v>245 Banawe St. QC</v>
          </cell>
        </row>
        <row r="15">
          <cell r="A15">
            <v>38805</v>
          </cell>
          <cell r="B15" t="str">
            <v>GloriaJeansCoffees</v>
          </cell>
          <cell r="C15">
            <v>801</v>
          </cell>
          <cell r="D15" t="str">
            <v xml:space="preserve">Robinson Galleria East wing main entrance </v>
          </cell>
        </row>
        <row r="16">
          <cell r="A16">
            <v>38805</v>
          </cell>
          <cell r="B16" t="str">
            <v>Max Restaurant</v>
          </cell>
          <cell r="C16">
            <v>801</v>
          </cell>
          <cell r="D16" t="str">
            <v>Ortigas Ave., Cor. Edsa QC</v>
          </cell>
        </row>
        <row r="17">
          <cell r="A17">
            <v>38810</v>
          </cell>
          <cell r="B17" t="str">
            <v>Goldilocks Bakeshop</v>
          </cell>
          <cell r="C17">
            <v>830</v>
          </cell>
          <cell r="D17" t="str">
            <v>SM Southmall Las Pinas City</v>
          </cell>
        </row>
        <row r="18">
          <cell r="A18">
            <v>38810</v>
          </cell>
          <cell r="B18" t="str">
            <v>Starbucks Coffee</v>
          </cell>
          <cell r="C18">
            <v>829</v>
          </cell>
          <cell r="D18" t="str">
            <v>G/F SM Podium Mandaluyong City</v>
          </cell>
        </row>
        <row r="19">
          <cell r="A19">
            <v>38812</v>
          </cell>
          <cell r="B19" t="str">
            <v>Master Realty</v>
          </cell>
          <cell r="C19">
            <v>856</v>
          </cell>
          <cell r="D19" t="str">
            <v>57 Sgt Rivera st. Quezon City</v>
          </cell>
        </row>
        <row r="20">
          <cell r="A20">
            <v>38812</v>
          </cell>
          <cell r="B20" t="str">
            <v>Wide Wide World</v>
          </cell>
          <cell r="C20">
            <v>854</v>
          </cell>
          <cell r="D20" t="str">
            <v>Pascor Drive, Sto. Nino Paranaque MM</v>
          </cell>
        </row>
        <row r="21">
          <cell r="A21">
            <v>38810</v>
          </cell>
          <cell r="B21" t="str">
            <v>Smart Telecommunication</v>
          </cell>
          <cell r="C21">
            <v>838</v>
          </cell>
          <cell r="D21" t="str">
            <v>Smart Tower, 6799 Ayala Avenue Brgy. Bel-Air Makati City</v>
          </cell>
        </row>
        <row r="22">
          <cell r="A22">
            <v>38813</v>
          </cell>
          <cell r="B22" t="str">
            <v>SuperSale Club</v>
          </cell>
          <cell r="C22">
            <v>861</v>
          </cell>
          <cell r="D22" t="str">
            <v>North Ave. cor. Edsa, QC</v>
          </cell>
        </row>
        <row r="23">
          <cell r="A23">
            <v>38818</v>
          </cell>
          <cell r="B23" t="str">
            <v>DHL Express (Phils.) Corp.</v>
          </cell>
          <cell r="C23" t="str">
            <v>CV# 7759</v>
          </cell>
          <cell r="D23" t="str">
            <v>2306 Chino Roces Ave. Kayamanan C, Makati City</v>
          </cell>
        </row>
        <row r="24">
          <cell r="A24">
            <v>38818</v>
          </cell>
          <cell r="B24" t="str">
            <v>DHL Express (Phils.) Corp.</v>
          </cell>
          <cell r="C24">
            <v>7760</v>
          </cell>
          <cell r="D24" t="str">
            <v>2306 Chino Roces Ave. Kayamanan C, Makati City</v>
          </cell>
        </row>
        <row r="25">
          <cell r="A25">
            <v>38818</v>
          </cell>
          <cell r="B25" t="str">
            <v>DHL Express (Phils.) Corp.</v>
          </cell>
          <cell r="C25">
            <v>7761</v>
          </cell>
          <cell r="D25" t="str">
            <v>2306 Chino Roces Ave. Kayamanan C, Makati City</v>
          </cell>
        </row>
        <row r="26">
          <cell r="A26">
            <v>38818</v>
          </cell>
          <cell r="B26" t="str">
            <v>AR Insurance Agency, Inc.</v>
          </cell>
          <cell r="C26">
            <v>7762</v>
          </cell>
          <cell r="D26" t="str">
            <v>12th Flr., Unit 1204 Atlanta Centre, #31 Annapolis St., Greenhills,San Juan M.Mla.</v>
          </cell>
        </row>
        <row r="27">
          <cell r="A27">
            <v>38818</v>
          </cell>
          <cell r="B27" t="str">
            <v>MBT Customs Brokerage</v>
          </cell>
          <cell r="C27">
            <v>7763</v>
          </cell>
          <cell r="D27" t="str">
            <v>1156 Chino Roces Ave., Makati City</v>
          </cell>
        </row>
        <row r="28">
          <cell r="A28">
            <v>38818</v>
          </cell>
          <cell r="B28" t="str">
            <v>Shell Fleet Card-Pilipinas Shell</v>
          </cell>
          <cell r="C28">
            <v>7764</v>
          </cell>
          <cell r="D28" t="str">
            <v>Shell House, 156 Valero St., Salcedo Vill. 1227 Makati City</v>
          </cell>
        </row>
        <row r="29">
          <cell r="A29">
            <v>38813</v>
          </cell>
          <cell r="B29" t="str">
            <v>Super Sale Club</v>
          </cell>
          <cell r="C29" t="str">
            <v>RCA# 860</v>
          </cell>
          <cell r="D29" t="str">
            <v>North Ave. cor. Edsa, QC</v>
          </cell>
        </row>
        <row r="30">
          <cell r="A30">
            <v>38813</v>
          </cell>
          <cell r="B30" t="str">
            <v>Wide Wide World</v>
          </cell>
          <cell r="C30">
            <v>864</v>
          </cell>
          <cell r="D30" t="str">
            <v>Pascor Drive, Sto. Nino Paranaque MM</v>
          </cell>
        </row>
        <row r="31">
          <cell r="A31">
            <v>38813</v>
          </cell>
          <cell r="B31" t="str">
            <v>Wide Wide World</v>
          </cell>
          <cell r="C31">
            <v>865</v>
          </cell>
          <cell r="D31" t="str">
            <v>Pascor Drive, Sto. Nino Paranaque MM</v>
          </cell>
        </row>
        <row r="32">
          <cell r="A32">
            <v>38812</v>
          </cell>
          <cell r="B32" t="str">
            <v>Assab Electrical &amp; Mill Supply</v>
          </cell>
          <cell r="C32">
            <v>855</v>
          </cell>
          <cell r="D32" t="str">
            <v>219 Rizal Ave. Ext. near 6th Ave. Caloocan City</v>
          </cell>
        </row>
        <row r="33">
          <cell r="A33">
            <v>38818</v>
          </cell>
          <cell r="B33" t="str">
            <v>Eagle's View Hotel</v>
          </cell>
          <cell r="C33" t="str">
            <v>CV# 7771</v>
          </cell>
          <cell r="D33" t="str">
            <v>8100 Dalisay Gante Ave. Magugpo West, Tagum City</v>
          </cell>
        </row>
        <row r="34">
          <cell r="A34">
            <v>38818</v>
          </cell>
          <cell r="B34" t="str">
            <v>The Dynasty Court Hotel</v>
          </cell>
          <cell r="C34">
            <v>7771</v>
          </cell>
          <cell r="D34" t="str">
            <v>Tiano Bros corner Hayes Sts. Cagayan De Oro City</v>
          </cell>
        </row>
        <row r="35">
          <cell r="A35">
            <v>38818</v>
          </cell>
          <cell r="B35" t="str">
            <v>Phela Grande Hotel</v>
          </cell>
          <cell r="C35">
            <v>7771</v>
          </cell>
          <cell r="D35" t="str">
            <v>Magsaysay Ave. Atis St. General Santosl City</v>
          </cell>
        </row>
        <row r="36">
          <cell r="A36">
            <v>38818</v>
          </cell>
          <cell r="B36" t="str">
            <v>Meralco</v>
          </cell>
          <cell r="C36">
            <v>7772</v>
          </cell>
          <cell r="D36" t="str">
            <v>Ortigas Ave. Pasig City</v>
          </cell>
        </row>
        <row r="37">
          <cell r="A37">
            <v>38803</v>
          </cell>
          <cell r="B37" t="str">
            <v xml:space="preserve">Beaver Q Corp. </v>
          </cell>
          <cell r="C37" t="str">
            <v>RCA# 792</v>
          </cell>
          <cell r="D37" t="str">
            <v>2/F Colbella Bldg. Arnaiz Ave., Makati City</v>
          </cell>
        </row>
        <row r="38">
          <cell r="A38">
            <v>38803</v>
          </cell>
          <cell r="B38" t="str">
            <v xml:space="preserve">Classmate KTV Music Lounge </v>
          </cell>
          <cell r="C38">
            <v>792</v>
          </cell>
          <cell r="D38" t="str">
            <v>1010-1018 Quezon Ave. QC</v>
          </cell>
        </row>
        <row r="39">
          <cell r="A39">
            <v>38825</v>
          </cell>
          <cell r="B39" t="str">
            <v>Directories Phils. Corp.</v>
          </cell>
          <cell r="C39" t="str">
            <v>CV# 7780</v>
          </cell>
          <cell r="D39" t="str">
            <v>16th Flr. DPC Place 2322 Don Chino Roces Ave. Makati City</v>
          </cell>
        </row>
        <row r="40">
          <cell r="A40">
            <v>38825</v>
          </cell>
          <cell r="B40" t="str">
            <v>K &amp; I Petron Service Center</v>
          </cell>
          <cell r="C40">
            <v>7782</v>
          </cell>
          <cell r="D40" t="str">
            <v>Laon-Laan cor. Kanlaon St., Q.C.</v>
          </cell>
        </row>
        <row r="41">
          <cell r="A41">
            <v>38810</v>
          </cell>
          <cell r="B41" t="str">
            <v>Goldilocks Bakeshop</v>
          </cell>
          <cell r="C41" t="str">
            <v>RCA# 832</v>
          </cell>
          <cell r="D41" t="str">
            <v>Mc Arthur Hiway Malolos City</v>
          </cell>
        </row>
        <row r="42">
          <cell r="A42">
            <v>38817</v>
          </cell>
          <cell r="B42" t="str">
            <v>Ostel Ingredients Trading</v>
          </cell>
          <cell r="C42">
            <v>881</v>
          </cell>
          <cell r="D42" t="str">
            <v>22-A Virginia Drive, Rodriguez Subd. Baesa QC</v>
          </cell>
        </row>
        <row r="43">
          <cell r="A43">
            <v>38817</v>
          </cell>
          <cell r="B43" t="str">
            <v>Prince Laurent Multiproducts</v>
          </cell>
          <cell r="C43">
            <v>872</v>
          </cell>
          <cell r="D43" t="str">
            <v>849 C. Planas St., San Nicolas, Manila</v>
          </cell>
        </row>
        <row r="44">
          <cell r="A44">
            <v>38817</v>
          </cell>
          <cell r="B44" t="str">
            <v>Starbucks Coffee</v>
          </cell>
          <cell r="C44">
            <v>882</v>
          </cell>
          <cell r="D44" t="str">
            <v xml:space="preserve">G/F Banawe Square 989 Banawe St. QC </v>
          </cell>
        </row>
        <row r="45">
          <cell r="A45">
            <v>38817</v>
          </cell>
          <cell r="B45" t="str">
            <v>Toshco Enterprises</v>
          </cell>
          <cell r="C45">
            <v>882</v>
          </cell>
          <cell r="D45" t="str">
            <v>847 Banawe St. cor Linao St. QC (17.68)</v>
          </cell>
        </row>
        <row r="46">
          <cell r="A46">
            <v>38818</v>
          </cell>
          <cell r="B46" t="str">
            <v>Hi-Top Supermarket</v>
          </cell>
          <cell r="C46">
            <v>890</v>
          </cell>
          <cell r="D46" t="str">
            <v>Quezon Blvd. QC.</v>
          </cell>
        </row>
        <row r="47">
          <cell r="A47">
            <v>38818</v>
          </cell>
          <cell r="B47" t="str">
            <v>Yellow Cab Pizza</v>
          </cell>
          <cell r="C47">
            <v>886</v>
          </cell>
          <cell r="D47" t="str">
            <v xml:space="preserve">level 1 406-407 Robinson Galleria Ortigas </v>
          </cell>
        </row>
        <row r="48">
          <cell r="A48">
            <v>38818</v>
          </cell>
          <cell r="B48" t="str">
            <v>Starbucks Coffee</v>
          </cell>
          <cell r="C48">
            <v>886</v>
          </cell>
          <cell r="D48" t="str">
            <v xml:space="preserve">Ground Floor SM Podium Mandaluyong City </v>
          </cell>
        </row>
        <row r="49">
          <cell r="A49">
            <v>38813</v>
          </cell>
          <cell r="B49" t="str">
            <v>Ostel Ingredients Trading</v>
          </cell>
          <cell r="C49">
            <v>863</v>
          </cell>
          <cell r="D49" t="str">
            <v>22-A Virginia Drive, Rodriguez Subd. Baesa QC</v>
          </cell>
        </row>
        <row r="50">
          <cell r="A50">
            <v>38810</v>
          </cell>
          <cell r="B50" t="str">
            <v>Smart Telecommunication</v>
          </cell>
          <cell r="C50">
            <v>839</v>
          </cell>
          <cell r="D50" t="str">
            <v>Smart Tower, 6799 Ayala Avenue Brgy. Bel-Air Makati City</v>
          </cell>
        </row>
        <row r="51">
          <cell r="A51">
            <v>38826</v>
          </cell>
          <cell r="B51" t="str">
            <v>Master Realty Company, Inc.</v>
          </cell>
          <cell r="C51" t="str">
            <v>CV# 7790</v>
          </cell>
          <cell r="D51" t="str">
            <v>57 Sgt Rivera st. Quezon City</v>
          </cell>
        </row>
        <row r="52">
          <cell r="A52">
            <v>38826</v>
          </cell>
          <cell r="B52" t="str">
            <v>Digitel Mobile Philippines, Inc.</v>
          </cell>
          <cell r="C52">
            <v>7791</v>
          </cell>
          <cell r="D52" t="str">
            <v>110 E. Rodriguez Jr. Ave. Bagumbayan Quezon City</v>
          </cell>
        </row>
        <row r="53">
          <cell r="A53">
            <v>38817</v>
          </cell>
          <cell r="B53" t="str">
            <v>Alysons Chemical Enterprises, Inc.</v>
          </cell>
          <cell r="C53" t="str">
            <v>RCA# 880</v>
          </cell>
          <cell r="D53" t="str">
            <v>1425-1435 G. Araneta Ave. QC</v>
          </cell>
        </row>
        <row r="54">
          <cell r="A54">
            <v>38828</v>
          </cell>
          <cell r="B54" t="str">
            <v>Globe Telecom</v>
          </cell>
          <cell r="C54" t="str">
            <v>CV# 7800</v>
          </cell>
          <cell r="D54" t="str">
            <v>2nd Flr. Globe Telecom Plaza, Pioneer cor. Madison St., 1552 Mandaluyong City</v>
          </cell>
        </row>
        <row r="55">
          <cell r="A55">
            <v>38839</v>
          </cell>
          <cell r="B55" t="str">
            <v>K &amp; I Petron Service Center</v>
          </cell>
          <cell r="C55">
            <v>7801</v>
          </cell>
          <cell r="D55" t="str">
            <v>Laon-Laan cor. Kanlaon St., Q.C.</v>
          </cell>
        </row>
        <row r="56">
          <cell r="A56">
            <v>38837</v>
          </cell>
          <cell r="B56" t="str">
            <v>MBT International Freight Forwarder, Inc.</v>
          </cell>
          <cell r="C56">
            <v>7803</v>
          </cell>
          <cell r="D56" t="str">
            <v>Unit 3, 2nd Flr. NYS Bldg. 1156 Chino Roces Ave., Makati City</v>
          </cell>
        </row>
        <row r="57">
          <cell r="A57">
            <v>38843</v>
          </cell>
          <cell r="B57" t="str">
            <v>MBT Customs Brokerage</v>
          </cell>
          <cell r="C57">
            <v>7804</v>
          </cell>
          <cell r="D57" t="str">
            <v>1156 Chino Roces Ave., Makati City</v>
          </cell>
        </row>
        <row r="58">
          <cell r="A58">
            <v>38831</v>
          </cell>
          <cell r="B58" t="str">
            <v>Globe Telecom</v>
          </cell>
          <cell r="C58">
            <v>7814</v>
          </cell>
          <cell r="D58" t="str">
            <v>2nd Flr. Globe Telecom Plaza, Pioneer cor. Madison St., 1552 Mandaluyong City</v>
          </cell>
        </row>
        <row r="59">
          <cell r="A59">
            <v>38831</v>
          </cell>
          <cell r="B59" t="str">
            <v>Globe Telecom</v>
          </cell>
          <cell r="C59">
            <v>7815</v>
          </cell>
          <cell r="D59" t="str">
            <v>2nd Flr. Globe Telecom Plaza, Pioneer cor. Madison St., 1552 Mandaluyong City</v>
          </cell>
        </row>
        <row r="60">
          <cell r="A60">
            <v>38831</v>
          </cell>
          <cell r="B60" t="str">
            <v>PLDT</v>
          </cell>
          <cell r="C60">
            <v>7816</v>
          </cell>
          <cell r="D60" t="str">
            <v>Legaspi cor. Dela Rosa St., Makati City</v>
          </cell>
        </row>
        <row r="61">
          <cell r="A61">
            <v>38832</v>
          </cell>
          <cell r="B61" t="str">
            <v>Chili's Grill &amp; Bar Rest</v>
          </cell>
          <cell r="C61">
            <v>7823</v>
          </cell>
          <cell r="D61" t="str">
            <v>Tomas Morato, QC</v>
          </cell>
        </row>
        <row r="62">
          <cell r="A62">
            <v>38834</v>
          </cell>
          <cell r="B62" t="str">
            <v>DHL Express (Phils.) Corp.</v>
          </cell>
          <cell r="C62">
            <v>7841</v>
          </cell>
          <cell r="D62" t="str">
            <v>2306 Chino Roces Ave. Kayamanan C, Makati City</v>
          </cell>
        </row>
        <row r="63">
          <cell r="A63">
            <v>38834</v>
          </cell>
          <cell r="B63" t="str">
            <v>AR Insurance Agency, Inc.</v>
          </cell>
          <cell r="C63">
            <v>7842</v>
          </cell>
          <cell r="D63" t="str">
            <v>12th Flr., Unit 1204 Atlanta Centre, #31 Annapolis St., Greenhills,San Juan M.Mla.</v>
          </cell>
        </row>
        <row r="64">
          <cell r="A64">
            <v>38825</v>
          </cell>
          <cell r="B64" t="str">
            <v>Wide Wide World</v>
          </cell>
          <cell r="C64" t="str">
            <v>RCA# 193</v>
          </cell>
          <cell r="D64" t="str">
            <v>Pascor Drive, Sto. Nino Paranaque MM</v>
          </cell>
        </row>
        <row r="65">
          <cell r="A65">
            <v>38824</v>
          </cell>
          <cell r="B65" t="str">
            <v>Goldilocks Bakeshop</v>
          </cell>
          <cell r="C65">
            <v>908</v>
          </cell>
          <cell r="D65" t="str">
            <v>Tutuban Branch-L&amp;U mall tutuban center Tondo Manila</v>
          </cell>
        </row>
        <row r="66">
          <cell r="A66">
            <v>38824</v>
          </cell>
          <cell r="B66" t="str">
            <v>Goldilocks Bakeshop</v>
          </cell>
          <cell r="C66">
            <v>907</v>
          </cell>
          <cell r="D66" t="str">
            <v>Tutuban Branch-L&amp;U mall tutuban center Tondo Manila</v>
          </cell>
        </row>
        <row r="67">
          <cell r="A67">
            <v>38826</v>
          </cell>
          <cell r="B67" t="str">
            <v>Alysons Chemical Enterprises, Inc.</v>
          </cell>
          <cell r="C67">
            <v>920</v>
          </cell>
          <cell r="D67" t="str">
            <v>1425-1435 G. Araneta Ave. QC.</v>
          </cell>
        </row>
        <row r="68">
          <cell r="A68">
            <v>38826</v>
          </cell>
          <cell r="B68" t="str">
            <v>Goldilocks Bakeshop</v>
          </cell>
          <cell r="C68">
            <v>919</v>
          </cell>
          <cell r="D68" t="str">
            <v>SM City Sta Mesa Aurora Blvd cor. G araneta Dona Imelda QC</v>
          </cell>
        </row>
        <row r="69">
          <cell r="A69">
            <v>38827</v>
          </cell>
          <cell r="B69" t="str">
            <v>Petro Plaza, Inc.</v>
          </cell>
          <cell r="C69">
            <v>927</v>
          </cell>
          <cell r="D69" t="str">
            <v xml:space="preserve">532 Ortigas Ave. cor. Santolan Road San Juan MM </v>
          </cell>
        </row>
        <row r="70">
          <cell r="A70">
            <v>38827</v>
          </cell>
          <cell r="B70" t="str">
            <v>Gabriannes Ventures Company</v>
          </cell>
          <cell r="C70">
            <v>927</v>
          </cell>
          <cell r="D70" t="str">
            <v xml:space="preserve">1265 G. Araneta Ave. Bgy. Sto. Domingo QC </v>
          </cell>
        </row>
        <row r="71">
          <cell r="A71">
            <v>38827</v>
          </cell>
          <cell r="B71" t="str">
            <v>Goldilocks Bakeshop</v>
          </cell>
          <cell r="C71">
            <v>924</v>
          </cell>
          <cell r="D71" t="str">
            <v>Tutuban Branch-L&amp;U mall tutuban center Tondo Manila</v>
          </cell>
        </row>
        <row r="72">
          <cell r="A72">
            <v>38828</v>
          </cell>
          <cell r="B72" t="str">
            <v>Red Ribbon Bakeshop</v>
          </cell>
          <cell r="C72">
            <v>926</v>
          </cell>
          <cell r="D72" t="str">
            <v>Shangrila Booth- Pasig</v>
          </cell>
        </row>
        <row r="74">
          <cell r="A74">
            <v>38808</v>
          </cell>
          <cell r="B74" t="str">
            <v>Prince Laurent Multiproducts</v>
          </cell>
          <cell r="C74" t="str">
            <v>RFP# 10480</v>
          </cell>
          <cell r="D74" t="str">
            <v>849 C. Planas St., San Nicolas, Manila</v>
          </cell>
        </row>
        <row r="75">
          <cell r="A75">
            <v>38808</v>
          </cell>
          <cell r="B75" t="str">
            <v>Elcano Trading</v>
          </cell>
          <cell r="C75">
            <v>10479</v>
          </cell>
          <cell r="D75" t="str">
            <v>44-A Conception St., Pasay City P.O. Box 661, Manila</v>
          </cell>
        </row>
        <row r="76">
          <cell r="A76">
            <v>38808</v>
          </cell>
          <cell r="B76" t="str">
            <v>Elcano Trading</v>
          </cell>
          <cell r="C76">
            <v>10477</v>
          </cell>
          <cell r="D76" t="str">
            <v>44-A Conception St., Pasay City P.O. Box 661, Manila</v>
          </cell>
        </row>
        <row r="77">
          <cell r="A77">
            <v>38808</v>
          </cell>
          <cell r="B77" t="str">
            <v>Elcano Trading</v>
          </cell>
          <cell r="C77">
            <v>10476</v>
          </cell>
          <cell r="D77" t="str">
            <v>44-A Conception St., Pasay City P.O. Box 661, Manila</v>
          </cell>
        </row>
        <row r="78">
          <cell r="A78">
            <v>38808</v>
          </cell>
          <cell r="B78" t="str">
            <v>Evergreen Mini-Mart</v>
          </cell>
          <cell r="C78">
            <v>10474</v>
          </cell>
          <cell r="D78" t="str">
            <v>223 C. Palanca Sr. St. Quiapo, Manila</v>
          </cell>
        </row>
        <row r="79">
          <cell r="A79">
            <v>38808</v>
          </cell>
          <cell r="B79" t="str">
            <v>Elcano Trading</v>
          </cell>
          <cell r="C79">
            <v>10475</v>
          </cell>
          <cell r="D79" t="str">
            <v>44-A Conception St., Pasay City P.O. Box 661, Manila</v>
          </cell>
        </row>
        <row r="80">
          <cell r="A80">
            <v>38808</v>
          </cell>
          <cell r="B80" t="str">
            <v>Sytengco Enterprises</v>
          </cell>
          <cell r="C80">
            <v>10496</v>
          </cell>
          <cell r="D80" t="str">
            <v>Rm 502 Regina Garden II, Reina Regente St. Binondo, Manila</v>
          </cell>
        </row>
        <row r="81">
          <cell r="A81">
            <v>38808</v>
          </cell>
          <cell r="B81" t="str">
            <v>Office Club.Com</v>
          </cell>
          <cell r="C81">
            <v>10495</v>
          </cell>
          <cell r="D81" t="str">
            <v>344 Nueva St., Binondo Manila</v>
          </cell>
        </row>
        <row r="82">
          <cell r="A82">
            <v>38808</v>
          </cell>
          <cell r="B82" t="str">
            <v>Cornell Ingredients Corp.</v>
          </cell>
          <cell r="C82">
            <v>10493</v>
          </cell>
          <cell r="D82" t="str">
            <v>Unit E-1102B PSE Center, Bldg. Exchange Rd., Ortigas Ctr., Pasig City</v>
          </cell>
        </row>
        <row r="83">
          <cell r="A83">
            <v>38808</v>
          </cell>
          <cell r="B83" t="str">
            <v>Danasia Inc.</v>
          </cell>
          <cell r="C83">
            <v>10492</v>
          </cell>
          <cell r="D83" t="str">
            <v>2nd Flr. Molave Bldg. #2231 China Roces Ave., Makati City</v>
          </cell>
        </row>
        <row r="84">
          <cell r="A84">
            <v>38808</v>
          </cell>
          <cell r="B84" t="str">
            <v>Wok Talk Mercantile</v>
          </cell>
          <cell r="C84">
            <v>10489</v>
          </cell>
          <cell r="D84" t="str">
            <v>15 Session Rd., Socorrro, Cubao, Quezon City</v>
          </cell>
        </row>
        <row r="85">
          <cell r="A85">
            <v>38808</v>
          </cell>
          <cell r="B85" t="str">
            <v>Indofine International</v>
          </cell>
          <cell r="C85">
            <v>10487</v>
          </cell>
          <cell r="D85" t="str">
            <v>480 Sto. Cristo St., Binondo Manila</v>
          </cell>
        </row>
        <row r="86">
          <cell r="A86">
            <v>38808</v>
          </cell>
          <cell r="B86" t="str">
            <v>Wok Talk Mercantile</v>
          </cell>
          <cell r="C86">
            <v>10486</v>
          </cell>
          <cell r="D86" t="str">
            <v>15 Session Rd., Socorrro, Cubao, Quezon City</v>
          </cell>
        </row>
        <row r="87">
          <cell r="A87">
            <v>38808</v>
          </cell>
          <cell r="B87" t="str">
            <v>Turnberry Ingredients Corp.</v>
          </cell>
          <cell r="C87">
            <v>10482</v>
          </cell>
          <cell r="D87" t="str">
            <v>561 Shaw Blvd., Mandaluyong City</v>
          </cell>
        </row>
        <row r="88">
          <cell r="A88">
            <v>38808</v>
          </cell>
          <cell r="B88" t="str">
            <v>Turnberry Ingredients Corp.</v>
          </cell>
          <cell r="C88">
            <v>10481</v>
          </cell>
          <cell r="D88" t="str">
            <v>561 Shaw Blvd., Mandaluyong City</v>
          </cell>
        </row>
        <row r="89">
          <cell r="A89">
            <v>38808</v>
          </cell>
          <cell r="B89" t="str">
            <v>RSR Codemaster System</v>
          </cell>
          <cell r="C89">
            <v>10290</v>
          </cell>
          <cell r="D89" t="str">
            <v>161 Heroes del 96 st. Caloocan City, MM</v>
          </cell>
        </row>
        <row r="90">
          <cell r="A90">
            <v>38808</v>
          </cell>
          <cell r="B90" t="str">
            <v>De Luxe Electrical Hardware</v>
          </cell>
          <cell r="C90">
            <v>10604</v>
          </cell>
          <cell r="D90" t="str">
            <v>181-182 M.H. Del Pilar St., Grace Park, Caloocan City</v>
          </cell>
        </row>
        <row r="91">
          <cell r="A91">
            <v>38808</v>
          </cell>
          <cell r="B91" t="str">
            <v>Ferna Corporation</v>
          </cell>
          <cell r="C91">
            <v>10494</v>
          </cell>
          <cell r="D91" t="str">
            <v>16 Bernardo St., San Rafael Vill., Navotas 1485</v>
          </cell>
        </row>
        <row r="92">
          <cell r="A92">
            <v>38808</v>
          </cell>
          <cell r="B92" t="str">
            <v>Purechem Corporation</v>
          </cell>
          <cell r="C92">
            <v>10606</v>
          </cell>
          <cell r="D92" t="str">
            <v>348 Jorge St., San Rafael Vill.,Navotas M.Mla.</v>
          </cell>
        </row>
        <row r="93">
          <cell r="A93">
            <v>38808</v>
          </cell>
          <cell r="B93" t="str">
            <v>Wok Talk Mercantile</v>
          </cell>
          <cell r="C93">
            <v>10607</v>
          </cell>
          <cell r="D93" t="str">
            <v>15 Session Rd., Socorrro, Cubao, Quezon City</v>
          </cell>
        </row>
        <row r="94">
          <cell r="A94">
            <v>38808</v>
          </cell>
          <cell r="B94" t="str">
            <v>Evergreen Mini-Mart</v>
          </cell>
          <cell r="C94">
            <v>10610</v>
          </cell>
          <cell r="D94" t="str">
            <v>223 C. Palanca Sr. St. Quiapo, Manila</v>
          </cell>
        </row>
        <row r="95">
          <cell r="A95">
            <v>38808</v>
          </cell>
          <cell r="B95" t="str">
            <v>Consolidated Dairy &amp; Frozen Food Corp.</v>
          </cell>
          <cell r="C95">
            <v>10612</v>
          </cell>
          <cell r="D95" t="str">
            <v>18/F San Fernando Tower Unit A Binondo M.Mla.</v>
          </cell>
        </row>
        <row r="96">
          <cell r="A96">
            <v>38808</v>
          </cell>
          <cell r="B96" t="str">
            <v>Turnberry Ingredients Corp.</v>
          </cell>
          <cell r="C96">
            <v>10614</v>
          </cell>
          <cell r="D96" t="str">
            <v>561 Shaw Blvd., Mandaluyong City</v>
          </cell>
        </row>
        <row r="97">
          <cell r="A97">
            <v>38808</v>
          </cell>
          <cell r="B97" t="str">
            <v>Evergreen Mini-Mart</v>
          </cell>
          <cell r="C97">
            <v>10619</v>
          </cell>
          <cell r="D97" t="str">
            <v>223 C. Palanca Sr. St. Quiapo, Manila</v>
          </cell>
        </row>
        <row r="98">
          <cell r="A98">
            <v>38808</v>
          </cell>
          <cell r="B98" t="str">
            <v>Elcano Trading</v>
          </cell>
          <cell r="C98">
            <v>10621</v>
          </cell>
          <cell r="D98" t="str">
            <v>44-A Conception St., Pasay City P.O. Box 661, Manila</v>
          </cell>
        </row>
        <row r="99">
          <cell r="A99">
            <v>38808</v>
          </cell>
          <cell r="B99" t="str">
            <v>Elcano Trading</v>
          </cell>
          <cell r="C99">
            <v>10618</v>
          </cell>
          <cell r="D99" t="str">
            <v>44-A Conception St., Pasay City P.O. Box 661, Manila</v>
          </cell>
        </row>
        <row r="100">
          <cell r="A100">
            <v>38808</v>
          </cell>
          <cell r="B100" t="str">
            <v>Elcano Trading</v>
          </cell>
          <cell r="C100">
            <v>10620</v>
          </cell>
          <cell r="D100" t="str">
            <v>44-A Conception St., Pasay City P.O. Box 661, Manila</v>
          </cell>
        </row>
        <row r="101">
          <cell r="A101">
            <v>38808</v>
          </cell>
          <cell r="B101" t="str">
            <v>New Chem Company, Inc.</v>
          </cell>
          <cell r="C101">
            <v>10638</v>
          </cell>
          <cell r="D101" t="str">
            <v>1255 Batangas St., Sta. Cruz M. Mla</v>
          </cell>
        </row>
        <row r="102">
          <cell r="A102">
            <v>38808</v>
          </cell>
          <cell r="B102" t="str">
            <v>De Luxe Electrical Hardware</v>
          </cell>
          <cell r="C102">
            <v>10636</v>
          </cell>
          <cell r="D102" t="str">
            <v>181-182 M.H. Del Pilar St., Grace Park, Caloocan City</v>
          </cell>
        </row>
        <row r="103">
          <cell r="A103">
            <v>38808</v>
          </cell>
          <cell r="B103" t="str">
            <v>X-Trade General Merchandising</v>
          </cell>
          <cell r="C103">
            <v>10627</v>
          </cell>
          <cell r="D103" t="str">
            <v>53-A Scout Chuatoco, Brgy. Paligsahan, Quezon City</v>
          </cell>
        </row>
        <row r="104">
          <cell r="A104">
            <v>38808</v>
          </cell>
          <cell r="B104" t="str">
            <v>Wok Talk Mercantile</v>
          </cell>
          <cell r="C104">
            <v>10626</v>
          </cell>
          <cell r="D104" t="str">
            <v>15 Session Rd., Socorrro, Cubao, Quezon City</v>
          </cell>
        </row>
        <row r="105">
          <cell r="A105">
            <v>38808</v>
          </cell>
          <cell r="B105" t="str">
            <v>Wok Talk Mercantile</v>
          </cell>
          <cell r="C105">
            <v>10625</v>
          </cell>
          <cell r="D105" t="str">
            <v>15 Session Rd., Socorrro, Cubao, Quezon City</v>
          </cell>
        </row>
        <row r="106">
          <cell r="A106">
            <v>38808</v>
          </cell>
          <cell r="B106" t="str">
            <v>Baron Tyres Corp.</v>
          </cell>
          <cell r="C106">
            <v>10628</v>
          </cell>
          <cell r="D106" t="str">
            <v>1353 Quezon Avenue,cor. West 6th St., Quezon City</v>
          </cell>
        </row>
        <row r="107">
          <cell r="A107">
            <v>38808</v>
          </cell>
          <cell r="B107" t="str">
            <v>Indofine International</v>
          </cell>
          <cell r="C107">
            <v>10635</v>
          </cell>
          <cell r="D107" t="str">
            <v>480 Sto. Cristo St., Binondo Manila</v>
          </cell>
        </row>
        <row r="108">
          <cell r="A108">
            <v>38808</v>
          </cell>
          <cell r="B108" t="str">
            <v>Colent Enterprise Company</v>
          </cell>
          <cell r="C108">
            <v>10713</v>
          </cell>
          <cell r="D108" t="str">
            <v>Suite 200 Del Monte Mansion Bldg., Del Monte Ave., cor 210 speaker Perez st. Q.C.</v>
          </cell>
        </row>
        <row r="109">
          <cell r="A109">
            <v>38808</v>
          </cell>
          <cell r="B109" t="str">
            <v>Oxford Computer Tech</v>
          </cell>
          <cell r="C109">
            <v>10643</v>
          </cell>
          <cell r="D109" t="str">
            <v>Rm. 3 E. Enriqueta Bldg. 422 N.S Amoranto St. Maharlika Q.C.</v>
          </cell>
        </row>
        <row r="110">
          <cell r="A110">
            <v>38808</v>
          </cell>
          <cell r="B110" t="str">
            <v>Nationwide Distributors, Inc.</v>
          </cell>
          <cell r="C110">
            <v>10703</v>
          </cell>
          <cell r="D110" t="str">
            <v>NDI Bldg. 1847 Sta. Rita St., Guadalupe Nuevo, Makati</v>
          </cell>
        </row>
        <row r="111">
          <cell r="A111">
            <v>38808</v>
          </cell>
          <cell r="B111" t="str">
            <v>Beanjho Marketing</v>
          </cell>
          <cell r="C111">
            <v>10706</v>
          </cell>
          <cell r="D111" t="str">
            <v>25 Bernardino St., Libis, Bagbaguin, Val. City</v>
          </cell>
        </row>
        <row r="112">
          <cell r="A112">
            <v>38808</v>
          </cell>
          <cell r="B112" t="str">
            <v>Ferna Corporation</v>
          </cell>
          <cell r="C112">
            <v>10710</v>
          </cell>
          <cell r="D112" t="str">
            <v>16 Bernardo St., San Rafael Vill., Navotas 1485</v>
          </cell>
        </row>
        <row r="113">
          <cell r="A113">
            <v>38808</v>
          </cell>
          <cell r="B113" t="str">
            <v>Multivacutek Industrial Sales &amp; Services</v>
          </cell>
          <cell r="C113">
            <v>10648</v>
          </cell>
          <cell r="D113" t="str">
            <v>#17 G Cleveland St. Phase II, Parkwood Executive Village, Maybunga Pasig City</v>
          </cell>
        </row>
        <row r="114">
          <cell r="A114">
            <v>38808</v>
          </cell>
          <cell r="B114" t="str">
            <v>Conveying &amp; Packaging Co., Inc.</v>
          </cell>
          <cell r="C114">
            <v>10645</v>
          </cell>
          <cell r="D114" t="str">
            <v>160 West Ave., Philam Q.C.</v>
          </cell>
        </row>
        <row r="115">
          <cell r="A115">
            <v>38808</v>
          </cell>
          <cell r="B115" t="str">
            <v>Conveying &amp; Packaging Co., Inc.</v>
          </cell>
          <cell r="C115">
            <v>10651</v>
          </cell>
          <cell r="D115" t="str">
            <v>160 West Ave., Philam Q.C.</v>
          </cell>
        </row>
        <row r="116">
          <cell r="A116">
            <v>38808</v>
          </cell>
          <cell r="B116" t="str">
            <v>Conveying &amp; Packaging Co., Inc.</v>
          </cell>
          <cell r="C116">
            <v>10652</v>
          </cell>
          <cell r="D116" t="str">
            <v>160 West Ave., Philam Q.C.</v>
          </cell>
        </row>
        <row r="117">
          <cell r="A117">
            <v>38808</v>
          </cell>
          <cell r="B117" t="str">
            <v>Elcano Trading</v>
          </cell>
          <cell r="C117">
            <v>10714</v>
          </cell>
          <cell r="D117" t="str">
            <v>44-A Conception St., Pasay City P.O. Box 661, Manila</v>
          </cell>
        </row>
        <row r="118">
          <cell r="A118">
            <v>38808</v>
          </cell>
          <cell r="B118" t="str">
            <v>Elcano Trading</v>
          </cell>
          <cell r="C118">
            <v>10655</v>
          </cell>
          <cell r="D118" t="str">
            <v>44-A Conception St., Pasay City P.O. Box 661, Manila</v>
          </cell>
        </row>
        <row r="119">
          <cell r="A119">
            <v>38808</v>
          </cell>
          <cell r="B119" t="str">
            <v>Evergreen Mini-Mart</v>
          </cell>
          <cell r="C119">
            <v>10717</v>
          </cell>
          <cell r="D119" t="str">
            <v>223 C. Palanca Sr. St. Quiapo, Manila</v>
          </cell>
        </row>
        <row r="120">
          <cell r="A120">
            <v>38808</v>
          </cell>
          <cell r="B120" t="str">
            <v>Evergreen Mini-Mart</v>
          </cell>
          <cell r="C120">
            <v>10707</v>
          </cell>
          <cell r="D120" t="str">
            <v>223 C. Palanca Sr. St. Quiapo, Manila</v>
          </cell>
        </row>
        <row r="121">
          <cell r="A121">
            <v>38808</v>
          </cell>
          <cell r="B121" t="str">
            <v>Economic Press Inc.</v>
          </cell>
          <cell r="C121">
            <v>10657</v>
          </cell>
          <cell r="D121" t="str">
            <v>405 Quezon Avenue, Quezon City</v>
          </cell>
        </row>
        <row r="122">
          <cell r="A122">
            <v>38808</v>
          </cell>
          <cell r="B122" t="str">
            <v>Handyware Phils., Inc.</v>
          </cell>
          <cell r="C122">
            <v>10729</v>
          </cell>
          <cell r="D122" t="str">
            <v>HPI Corporate Centre, 1026 EDSA, Quezon City</v>
          </cell>
        </row>
        <row r="123">
          <cell r="A123">
            <v>38808</v>
          </cell>
          <cell r="B123" t="str">
            <v>Wok Talk Mercantile</v>
          </cell>
          <cell r="C123">
            <v>10728</v>
          </cell>
          <cell r="D123" t="str">
            <v>15 Session Rd., Socorrro, Cubao, Quezon City</v>
          </cell>
        </row>
        <row r="124">
          <cell r="A124">
            <v>38808</v>
          </cell>
          <cell r="B124" t="str">
            <v>Turnberry Ingredients Corp.</v>
          </cell>
          <cell r="C124">
            <v>10727</v>
          </cell>
          <cell r="D124" t="str">
            <v>561 Shaw Blvd., Mandaluyong City</v>
          </cell>
        </row>
        <row r="125">
          <cell r="A125">
            <v>38808</v>
          </cell>
          <cell r="B125" t="str">
            <v>Animus International</v>
          </cell>
          <cell r="C125">
            <v>10726</v>
          </cell>
          <cell r="D125" t="str">
            <v>2nd Floor 138 West Ave., Quezon City</v>
          </cell>
        </row>
        <row r="126">
          <cell r="A126">
            <v>38808</v>
          </cell>
          <cell r="B126" t="str">
            <v>Island-Wide Chemical Corp.</v>
          </cell>
          <cell r="C126">
            <v>10725</v>
          </cell>
          <cell r="D126" t="str">
            <v>561 Shaw Blvd., Mandaluyong City</v>
          </cell>
        </row>
        <row r="127">
          <cell r="A127">
            <v>38808</v>
          </cell>
          <cell r="B127" t="str">
            <v>Modularmark Industrial Corp.</v>
          </cell>
          <cell r="C127">
            <v>10724</v>
          </cell>
          <cell r="D127" t="str">
            <v>328 Mc. Arthur Hiway Malinta Valenzuela City</v>
          </cell>
        </row>
        <row r="128">
          <cell r="A128">
            <v>38808</v>
          </cell>
          <cell r="B128" t="str">
            <v>Elcano Trading</v>
          </cell>
          <cell r="C128">
            <v>10723</v>
          </cell>
          <cell r="D128" t="str">
            <v>44-A Conception St., Pasay City P.O. Box 661, Manila</v>
          </cell>
        </row>
        <row r="129">
          <cell r="A129">
            <v>38808</v>
          </cell>
          <cell r="B129" t="str">
            <v>Elcano Trading</v>
          </cell>
          <cell r="C129">
            <v>10642</v>
          </cell>
          <cell r="D129" t="str">
            <v>44-A Conception St., Pasay City P.O. Box 661, Manila</v>
          </cell>
        </row>
        <row r="130">
          <cell r="A130">
            <v>38808</v>
          </cell>
          <cell r="B130" t="str">
            <v>Elcano Trading</v>
          </cell>
          <cell r="C130">
            <v>10661</v>
          </cell>
          <cell r="D130" t="str">
            <v>44-A Conception St., Pasay City P.O. Box 661, Manila</v>
          </cell>
        </row>
        <row r="132">
          <cell r="A132">
            <v>38837</v>
          </cell>
          <cell r="B132" t="str">
            <v>Tireboy Phils., Corp.</v>
          </cell>
          <cell r="C132" t="str">
            <v>JV# 04-001</v>
          </cell>
          <cell r="D132" t="str">
            <v>98 Maria Clara cor. Sto. Domingo St. Sta. Mesa Heights QC</v>
          </cell>
        </row>
        <row r="135">
          <cell r="A135" t="str">
            <v>Prepared By:  Thea Jacalne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00"/>
  </sheetPr>
  <dimension ref="A1:AB877"/>
  <sheetViews>
    <sheetView tabSelected="1" topLeftCell="Q7" zoomScale="85" zoomScaleNormal="85" workbookViewId="0">
      <selection activeCell="X16" sqref="X16"/>
    </sheetView>
  </sheetViews>
  <sheetFormatPr defaultColWidth="14.42578125" defaultRowHeight="15" customHeight="1" x14ac:dyDescent="0.2"/>
  <cols>
    <col min="1" max="1" width="18.28515625" style="3" customWidth="1"/>
    <col min="2" max="2" width="11.85546875" style="3" customWidth="1"/>
    <col min="3" max="3" width="43.5703125" style="3" bestFit="1" customWidth="1"/>
    <col min="4" max="4" width="17.7109375" style="3" customWidth="1"/>
    <col min="5" max="6" width="16.7109375" style="3" customWidth="1"/>
    <col min="7" max="8" width="15.28515625" style="3" customWidth="1"/>
    <col min="9" max="9" width="15.5703125" style="3" customWidth="1"/>
    <col min="10" max="10" width="1" style="3" customWidth="1"/>
    <col min="11" max="11" width="1.140625" style="3" customWidth="1"/>
    <col min="12" max="12" width="18.42578125" style="3" customWidth="1"/>
    <col min="13" max="13" width="16.5703125" style="3" customWidth="1"/>
    <col min="14" max="14" width="18.7109375" style="3" customWidth="1"/>
    <col min="15" max="15" width="18.42578125" style="3" customWidth="1"/>
    <col min="16" max="16" width="16.5703125" style="3" customWidth="1"/>
    <col min="17" max="17" width="18.7109375" style="3" customWidth="1"/>
    <col min="18" max="18" width="22.28515625" style="3" bestFit="1" customWidth="1"/>
    <col min="19" max="19" width="16.5703125" style="3" customWidth="1"/>
    <col min="20" max="20" width="18.7109375" style="3" customWidth="1"/>
    <col min="21" max="21" width="27.28515625" style="3" bestFit="1" customWidth="1"/>
    <col min="22" max="22" width="16.5703125" style="3" customWidth="1"/>
    <col min="23" max="23" width="18.7109375" style="3" customWidth="1"/>
    <col min="24" max="24" width="27.28515625" style="3" bestFit="1" customWidth="1"/>
    <col min="25" max="25" width="16.5703125" style="3" customWidth="1"/>
    <col min="26" max="26" width="18.7109375" style="3" customWidth="1"/>
    <col min="27" max="16384" width="14.42578125" style="3"/>
  </cols>
  <sheetData>
    <row r="1" spans="1:28" x14ac:dyDescent="0.25">
      <c r="A1" s="1" t="s">
        <v>0</v>
      </c>
      <c r="B1" s="2"/>
      <c r="E1" s="4"/>
      <c r="F1" s="4"/>
      <c r="G1" s="4"/>
      <c r="H1" s="5"/>
      <c r="I1" s="4"/>
      <c r="L1" s="4"/>
      <c r="M1" s="1"/>
      <c r="N1" s="1"/>
      <c r="O1" s="4"/>
      <c r="P1" s="1"/>
      <c r="Q1" s="1"/>
      <c r="R1" s="4"/>
      <c r="S1" s="1"/>
      <c r="T1" s="1"/>
      <c r="U1" s="4"/>
      <c r="V1" s="1"/>
      <c r="W1" s="1"/>
      <c r="X1" s="4"/>
      <c r="Y1" s="1"/>
      <c r="Z1" s="1"/>
    </row>
    <row r="2" spans="1:28" x14ac:dyDescent="0.25">
      <c r="A2" s="6">
        <v>2025</v>
      </c>
      <c r="B2" s="2"/>
      <c r="E2" s="4"/>
      <c r="F2" s="4"/>
      <c r="G2" s="4"/>
      <c r="H2" s="7"/>
      <c r="I2" s="4"/>
      <c r="L2" s="4"/>
      <c r="M2" s="1"/>
      <c r="N2" s="8"/>
      <c r="O2" s="4"/>
      <c r="P2" s="1"/>
      <c r="Q2" s="8"/>
      <c r="R2" s="4"/>
      <c r="S2" s="1"/>
      <c r="T2" s="8"/>
      <c r="U2" s="4"/>
      <c r="V2" s="1"/>
      <c r="W2" s="8"/>
      <c r="X2" s="4"/>
      <c r="Y2" s="1"/>
      <c r="Z2" s="8"/>
    </row>
    <row r="3" spans="1:28" ht="14.25" customHeight="1" x14ac:dyDescent="0.2">
      <c r="A3" s="9" t="s">
        <v>1</v>
      </c>
      <c r="B3" s="10" t="s">
        <v>2</v>
      </c>
      <c r="C3" s="11" t="s">
        <v>3</v>
      </c>
      <c r="D3" s="12" t="s">
        <v>4</v>
      </c>
      <c r="E3" s="13" t="s">
        <v>5</v>
      </c>
      <c r="F3" s="13" t="s">
        <v>6</v>
      </c>
      <c r="G3" s="13" t="s">
        <v>7</v>
      </c>
      <c r="H3" s="14" t="s">
        <v>8</v>
      </c>
      <c r="I3" s="15" t="s">
        <v>9</v>
      </c>
      <c r="L3" s="16" t="s">
        <v>10</v>
      </c>
      <c r="M3" s="17" t="s">
        <v>11</v>
      </c>
      <c r="N3" s="18" t="s">
        <v>12</v>
      </c>
      <c r="O3" s="16" t="s">
        <v>13</v>
      </c>
      <c r="P3" s="17" t="s">
        <v>11</v>
      </c>
      <c r="Q3" s="18" t="s">
        <v>12</v>
      </c>
      <c r="R3" s="16" t="s">
        <v>14</v>
      </c>
      <c r="S3" s="17" t="s">
        <v>11</v>
      </c>
      <c r="T3" s="18" t="s">
        <v>12</v>
      </c>
      <c r="U3" s="16" t="s">
        <v>15</v>
      </c>
      <c r="V3" s="17" t="s">
        <v>11</v>
      </c>
      <c r="W3" s="18" t="s">
        <v>12</v>
      </c>
      <c r="X3" s="16" t="s">
        <v>43</v>
      </c>
      <c r="Y3" s="17" t="s">
        <v>11</v>
      </c>
      <c r="Z3" s="18" t="s">
        <v>12</v>
      </c>
    </row>
    <row r="4" spans="1:28" x14ac:dyDescent="0.2">
      <c r="A4" s="19"/>
      <c r="B4" s="19"/>
      <c r="C4" s="19"/>
      <c r="D4" s="12" t="s">
        <v>16</v>
      </c>
      <c r="E4" s="19"/>
      <c r="F4" s="19"/>
      <c r="G4" s="19"/>
      <c r="H4" s="14" t="s">
        <v>17</v>
      </c>
      <c r="I4" s="15" t="s">
        <v>18</v>
      </c>
      <c r="L4" s="17" t="s">
        <v>18</v>
      </c>
      <c r="M4" s="17" t="s">
        <v>18</v>
      </c>
      <c r="N4" s="17" t="s">
        <v>19</v>
      </c>
      <c r="O4" s="17" t="s">
        <v>18</v>
      </c>
      <c r="P4" s="17" t="s">
        <v>18</v>
      </c>
      <c r="Q4" s="17" t="s">
        <v>20</v>
      </c>
      <c r="R4" s="17" t="s">
        <v>18</v>
      </c>
      <c r="S4" s="17" t="s">
        <v>18</v>
      </c>
      <c r="T4" s="17" t="s">
        <v>21</v>
      </c>
      <c r="U4" s="17" t="s">
        <v>18</v>
      </c>
      <c r="V4" s="17" t="s">
        <v>18</v>
      </c>
      <c r="W4" s="17" t="s">
        <v>22</v>
      </c>
      <c r="X4" s="17" t="s">
        <v>18</v>
      </c>
      <c r="Y4" s="17" t="s">
        <v>18</v>
      </c>
      <c r="Z4" s="17" t="s">
        <v>44</v>
      </c>
    </row>
    <row r="5" spans="1:28" ht="15.75" customHeight="1" x14ac:dyDescent="0.25">
      <c r="A5" s="20"/>
      <c r="B5" s="21"/>
      <c r="C5" s="20"/>
      <c r="D5" s="20"/>
      <c r="E5" s="22"/>
      <c r="F5" s="22"/>
      <c r="G5" s="22"/>
      <c r="H5" s="21"/>
      <c r="I5" s="22"/>
      <c r="J5" s="23"/>
      <c r="K5" s="23"/>
      <c r="L5" s="22"/>
      <c r="M5" s="20"/>
      <c r="N5" s="20"/>
      <c r="O5" s="22"/>
      <c r="P5" s="20"/>
      <c r="Q5" s="20"/>
      <c r="R5" s="22"/>
      <c r="S5" s="20"/>
      <c r="T5" s="20"/>
      <c r="U5" s="22"/>
      <c r="V5" s="20"/>
      <c r="W5" s="20"/>
      <c r="X5" s="22"/>
      <c r="Y5" s="20"/>
      <c r="Z5" s="20"/>
    </row>
    <row r="6" spans="1:28" ht="15.75" customHeight="1" x14ac:dyDescent="0.25">
      <c r="A6" s="24" t="s">
        <v>23</v>
      </c>
      <c r="B6" s="25"/>
      <c r="C6" s="1"/>
      <c r="E6" s="4"/>
      <c r="F6" s="4"/>
      <c r="G6" s="4"/>
      <c r="H6" s="2"/>
      <c r="I6" s="4"/>
      <c r="L6" s="4"/>
      <c r="M6" s="1"/>
      <c r="N6" s="1"/>
      <c r="O6" s="4"/>
      <c r="P6" s="1"/>
      <c r="Q6" s="1"/>
      <c r="R6" s="4"/>
      <c r="S6" s="1"/>
      <c r="T6" s="1"/>
      <c r="U6" s="4"/>
      <c r="V6" s="1"/>
      <c r="W6" s="1"/>
      <c r="X6" s="4"/>
      <c r="Y6" s="1"/>
      <c r="Z6" s="1"/>
    </row>
    <row r="7" spans="1:28" ht="15.75" customHeight="1" x14ac:dyDescent="0.25">
      <c r="A7" s="26">
        <v>1</v>
      </c>
      <c r="B7" s="27"/>
      <c r="C7" s="27" t="s">
        <v>24</v>
      </c>
      <c r="D7" s="28"/>
      <c r="E7" s="26">
        <v>3000000</v>
      </c>
      <c r="F7" s="4">
        <v>0</v>
      </c>
      <c r="G7" s="26">
        <f>E7*A7</f>
        <v>3000000</v>
      </c>
      <c r="H7" s="29"/>
      <c r="I7" s="30"/>
      <c r="L7" s="30"/>
      <c r="M7" s="26"/>
      <c r="N7" s="26">
        <f>G7-L7</f>
        <v>3000000</v>
      </c>
      <c r="O7" s="30"/>
      <c r="P7" s="26"/>
      <c r="Q7" s="26">
        <f t="shared" ref="Q7:Q8" si="0">N7-O7</f>
        <v>3000000</v>
      </c>
      <c r="R7" s="30"/>
      <c r="S7" s="26"/>
      <c r="T7" s="26">
        <f t="shared" ref="T7:T8" si="1">Q7-R7</f>
        <v>3000000</v>
      </c>
      <c r="U7" s="30"/>
      <c r="V7" s="26"/>
      <c r="W7" s="26">
        <f t="shared" ref="W7:W8" si="2">T7-U7</f>
        <v>3000000</v>
      </c>
      <c r="X7" s="30"/>
      <c r="Y7" s="26"/>
      <c r="Z7" s="26">
        <f t="shared" ref="Z7:Z8" si="3">W7-X7</f>
        <v>3000000</v>
      </c>
    </row>
    <row r="8" spans="1:28" ht="15.75" customHeight="1" x14ac:dyDescent="0.25">
      <c r="A8" s="26">
        <v>1</v>
      </c>
      <c r="B8" s="27"/>
      <c r="C8" s="27" t="s">
        <v>25</v>
      </c>
      <c r="D8" s="28"/>
      <c r="E8" s="26">
        <v>670458</v>
      </c>
      <c r="F8" s="4">
        <v>0</v>
      </c>
      <c r="G8" s="26">
        <f>E8*A8</f>
        <v>670458</v>
      </c>
      <c r="H8" s="29"/>
      <c r="I8" s="30"/>
      <c r="L8" s="30"/>
      <c r="M8" s="26"/>
      <c r="N8" s="26">
        <f>G8-L8</f>
        <v>670458</v>
      </c>
      <c r="O8" s="30"/>
      <c r="P8" s="26"/>
      <c r="Q8" s="26">
        <f t="shared" si="0"/>
        <v>670458</v>
      </c>
      <c r="R8" s="30"/>
      <c r="S8" s="26"/>
      <c r="T8" s="26">
        <f t="shared" si="1"/>
        <v>670458</v>
      </c>
      <c r="U8" s="30"/>
      <c r="V8" s="26"/>
      <c r="W8" s="26">
        <f t="shared" si="2"/>
        <v>670458</v>
      </c>
      <c r="X8" s="30"/>
      <c r="Y8" s="26"/>
      <c r="Z8" s="26">
        <f t="shared" si="3"/>
        <v>670458</v>
      </c>
    </row>
    <row r="9" spans="1:28" ht="15.75" customHeight="1" x14ac:dyDescent="0.25">
      <c r="A9" s="26"/>
      <c r="B9" s="27"/>
      <c r="C9" s="27"/>
      <c r="D9" s="31"/>
      <c r="E9" s="26"/>
      <c r="F9" s="26"/>
      <c r="G9" s="26"/>
      <c r="H9" s="29"/>
      <c r="I9" s="30"/>
      <c r="L9" s="30"/>
      <c r="M9" s="26"/>
      <c r="N9" s="26"/>
      <c r="O9" s="30"/>
      <c r="P9" s="26"/>
      <c r="Q9" s="26"/>
      <c r="R9" s="30"/>
      <c r="S9" s="26"/>
      <c r="T9" s="26"/>
      <c r="U9" s="30"/>
      <c r="V9" s="26"/>
      <c r="W9" s="26"/>
      <c r="X9" s="30"/>
      <c r="Y9" s="26"/>
      <c r="Z9" s="26"/>
    </row>
    <row r="10" spans="1:28" ht="15.75" customHeight="1" thickBot="1" x14ac:dyDescent="0.3">
      <c r="A10" s="32" t="s">
        <v>26</v>
      </c>
      <c r="B10" s="33"/>
      <c r="C10" s="32"/>
      <c r="D10" s="32"/>
      <c r="E10" s="34">
        <f>SUM(E7:E9)</f>
        <v>3670458</v>
      </c>
      <c r="F10" s="34">
        <f t="shared" ref="F10:G10" si="4">SUM(F7:F9)</f>
        <v>0</v>
      </c>
      <c r="G10" s="34">
        <f t="shared" si="4"/>
        <v>3670458</v>
      </c>
      <c r="H10" s="33"/>
      <c r="I10" s="34">
        <f t="shared" ref="I10" si="5">SUM(I7:I9)</f>
        <v>0</v>
      </c>
      <c r="L10" s="34">
        <f t="shared" ref="L10:W10" si="6">SUM(L7:L9)</f>
        <v>0</v>
      </c>
      <c r="M10" s="34">
        <f t="shared" si="6"/>
        <v>0</v>
      </c>
      <c r="N10" s="35">
        <f t="shared" si="6"/>
        <v>3670458</v>
      </c>
      <c r="O10" s="34">
        <f t="shared" si="6"/>
        <v>0</v>
      </c>
      <c r="P10" s="34">
        <f t="shared" si="6"/>
        <v>0</v>
      </c>
      <c r="Q10" s="35">
        <f t="shared" si="6"/>
        <v>3670458</v>
      </c>
      <c r="R10" s="34">
        <f t="shared" si="6"/>
        <v>0</v>
      </c>
      <c r="S10" s="34">
        <f t="shared" si="6"/>
        <v>0</v>
      </c>
      <c r="T10" s="35">
        <f t="shared" si="6"/>
        <v>3670458</v>
      </c>
      <c r="U10" s="34">
        <f t="shared" si="6"/>
        <v>0</v>
      </c>
      <c r="V10" s="34">
        <f t="shared" si="6"/>
        <v>0</v>
      </c>
      <c r="W10" s="35">
        <f t="shared" si="6"/>
        <v>3670458</v>
      </c>
      <c r="X10" s="34">
        <f t="shared" ref="X10:Z10" si="7">SUM(X7:X9)</f>
        <v>0</v>
      </c>
      <c r="Y10" s="34">
        <f t="shared" si="7"/>
        <v>0</v>
      </c>
      <c r="Z10" s="35">
        <f t="shared" si="7"/>
        <v>3670458</v>
      </c>
      <c r="AB10" s="35">
        <f>L10+O10+R10+U10</f>
        <v>0</v>
      </c>
    </row>
    <row r="11" spans="1:28" ht="15.75" customHeight="1" thickTop="1" x14ac:dyDescent="0.25">
      <c r="A11" s="36"/>
      <c r="B11" s="37"/>
      <c r="C11" s="36"/>
      <c r="D11" s="36"/>
      <c r="E11" s="38"/>
      <c r="F11" s="38"/>
      <c r="G11" s="38"/>
      <c r="H11" s="37"/>
      <c r="I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B11" s="38"/>
    </row>
    <row r="12" spans="1:28" ht="14.25" customHeight="1" x14ac:dyDescent="0.2">
      <c r="A12" s="9" t="s">
        <v>1</v>
      </c>
      <c r="B12" s="10" t="s">
        <v>2</v>
      </c>
      <c r="C12" s="11" t="s">
        <v>3</v>
      </c>
      <c r="D12" s="12" t="s">
        <v>4</v>
      </c>
      <c r="E12" s="13" t="s">
        <v>5</v>
      </c>
      <c r="F12" s="13" t="s">
        <v>6</v>
      </c>
      <c r="G12" s="13" t="s">
        <v>7</v>
      </c>
      <c r="H12" s="14" t="s">
        <v>8</v>
      </c>
      <c r="I12" s="15" t="s">
        <v>9</v>
      </c>
      <c r="L12" s="16" t="s">
        <v>10</v>
      </c>
      <c r="M12" s="17" t="s">
        <v>11</v>
      </c>
      <c r="N12" s="18" t="s">
        <v>12</v>
      </c>
      <c r="O12" s="16" t="s">
        <v>13</v>
      </c>
      <c r="P12" s="17" t="s">
        <v>11</v>
      </c>
      <c r="Q12" s="18" t="s">
        <v>12</v>
      </c>
      <c r="R12" s="16" t="s">
        <v>14</v>
      </c>
      <c r="S12" s="17" t="s">
        <v>11</v>
      </c>
      <c r="T12" s="18" t="s">
        <v>12</v>
      </c>
      <c r="U12" s="16" t="s">
        <v>15</v>
      </c>
      <c r="V12" s="17" t="s">
        <v>11</v>
      </c>
      <c r="W12" s="18" t="s">
        <v>12</v>
      </c>
      <c r="X12" s="16" t="s">
        <v>15</v>
      </c>
      <c r="Y12" s="17" t="s">
        <v>11</v>
      </c>
      <c r="Z12" s="18" t="s">
        <v>12</v>
      </c>
    </row>
    <row r="13" spans="1:28" x14ac:dyDescent="0.2">
      <c r="A13" s="19"/>
      <c r="B13" s="19"/>
      <c r="C13" s="19"/>
      <c r="D13" s="12" t="s">
        <v>16</v>
      </c>
      <c r="E13" s="19"/>
      <c r="F13" s="19"/>
      <c r="G13" s="19"/>
      <c r="H13" s="14" t="s">
        <v>17</v>
      </c>
      <c r="I13" s="15" t="s">
        <v>18</v>
      </c>
      <c r="L13" s="17" t="s">
        <v>18</v>
      </c>
      <c r="M13" s="17" t="s">
        <v>18</v>
      </c>
      <c r="N13" s="17" t="s">
        <v>19</v>
      </c>
      <c r="O13" s="17" t="s">
        <v>18</v>
      </c>
      <c r="P13" s="17" t="s">
        <v>18</v>
      </c>
      <c r="Q13" s="17" t="s">
        <v>20</v>
      </c>
      <c r="R13" s="17" t="s">
        <v>18</v>
      </c>
      <c r="S13" s="17" t="s">
        <v>18</v>
      </c>
      <c r="T13" s="17" t="s">
        <v>21</v>
      </c>
      <c r="U13" s="17" t="s">
        <v>18</v>
      </c>
      <c r="V13" s="17" t="s">
        <v>18</v>
      </c>
      <c r="W13" s="17" t="s">
        <v>22</v>
      </c>
      <c r="X13" s="17" t="s">
        <v>18</v>
      </c>
      <c r="Y13" s="17" t="s">
        <v>18</v>
      </c>
      <c r="Z13" s="17" t="s">
        <v>22</v>
      </c>
    </row>
    <row r="14" spans="1:28" ht="15.75" customHeight="1" x14ac:dyDescent="0.25">
      <c r="A14" s="20"/>
      <c r="B14" s="21"/>
      <c r="C14" s="20"/>
      <c r="D14" s="20"/>
      <c r="E14" s="22"/>
      <c r="F14" s="22"/>
      <c r="G14" s="22"/>
      <c r="H14" s="21"/>
      <c r="I14" s="22"/>
      <c r="J14" s="23"/>
      <c r="K14" s="23"/>
      <c r="L14" s="22"/>
      <c r="M14" s="20"/>
      <c r="N14" s="20"/>
      <c r="O14" s="22"/>
      <c r="P14" s="20"/>
      <c r="Q14" s="20"/>
      <c r="R14" s="22"/>
      <c r="S14" s="20"/>
      <c r="T14" s="20"/>
      <c r="U14" s="22"/>
      <c r="V14" s="20"/>
      <c r="W14" s="20"/>
      <c r="X14" s="22"/>
      <c r="Y14" s="20"/>
      <c r="Z14" s="20"/>
    </row>
    <row r="15" spans="1:28" ht="15.75" customHeight="1" x14ac:dyDescent="0.25">
      <c r="A15" s="24" t="s">
        <v>27</v>
      </c>
      <c r="B15" s="25"/>
      <c r="C15" s="1"/>
      <c r="E15" s="4"/>
      <c r="F15" s="4"/>
      <c r="G15" s="4"/>
      <c r="H15" s="2"/>
      <c r="I15" s="4"/>
      <c r="L15" s="4"/>
      <c r="M15" s="1"/>
      <c r="N15" s="1"/>
      <c r="O15" s="4"/>
      <c r="P15" s="1"/>
      <c r="Q15" s="1"/>
      <c r="R15" s="4"/>
      <c r="S15" s="1"/>
      <c r="T15" s="1"/>
      <c r="U15" s="4"/>
      <c r="V15" s="1"/>
      <c r="W15" s="1"/>
      <c r="X15" s="4"/>
      <c r="Y15" s="1"/>
      <c r="Z15" s="1"/>
    </row>
    <row r="16" spans="1:28" ht="15.75" customHeight="1" x14ac:dyDescent="0.25">
      <c r="A16" s="26">
        <v>1</v>
      </c>
      <c r="B16" s="27"/>
      <c r="C16" s="27" t="s">
        <v>28</v>
      </c>
      <c r="D16" s="28"/>
      <c r="E16" s="26">
        <v>4549542</v>
      </c>
      <c r="F16" s="4">
        <v>0</v>
      </c>
      <c r="G16" s="26">
        <f>E16*A16</f>
        <v>4549542</v>
      </c>
      <c r="H16" s="29"/>
      <c r="I16" s="30"/>
      <c r="L16" s="30"/>
      <c r="M16" s="26"/>
      <c r="N16" s="26">
        <f>G16-L16</f>
        <v>4549542</v>
      </c>
      <c r="O16" s="30"/>
      <c r="P16" s="26"/>
      <c r="Q16" s="26">
        <f t="shared" ref="Q16" si="8">N16-O16</f>
        <v>4549542</v>
      </c>
      <c r="R16" s="30"/>
      <c r="S16" s="26"/>
      <c r="T16" s="26">
        <f t="shared" ref="T16" si="9">Q16-R16</f>
        <v>4549542</v>
      </c>
      <c r="U16" s="30"/>
      <c r="V16" s="26"/>
      <c r="W16" s="26">
        <f t="shared" ref="W16" si="10">T16-U16</f>
        <v>4549542</v>
      </c>
      <c r="X16" s="30"/>
      <c r="Y16" s="26"/>
      <c r="Z16" s="26">
        <f t="shared" ref="Z16" si="11">W16-X16</f>
        <v>4549542</v>
      </c>
    </row>
    <row r="17" spans="1:28" ht="15.75" customHeight="1" x14ac:dyDescent="0.25">
      <c r="A17" s="26"/>
      <c r="B17" s="27"/>
      <c r="C17" s="27"/>
      <c r="D17" s="31"/>
      <c r="E17" s="26"/>
      <c r="F17" s="26"/>
      <c r="G17" s="26"/>
      <c r="H17" s="29"/>
      <c r="I17" s="30"/>
      <c r="L17" s="30"/>
      <c r="M17" s="26"/>
      <c r="N17" s="26"/>
      <c r="O17" s="30"/>
      <c r="P17" s="26"/>
      <c r="Q17" s="26"/>
      <c r="R17" s="30"/>
      <c r="S17" s="26"/>
      <c r="T17" s="26"/>
      <c r="U17" s="30"/>
      <c r="V17" s="26"/>
      <c r="W17" s="26"/>
      <c r="X17" s="30"/>
      <c r="Y17" s="26"/>
      <c r="Z17" s="26"/>
    </row>
    <row r="18" spans="1:28" ht="15.75" customHeight="1" thickBot="1" x14ac:dyDescent="0.3">
      <c r="A18" s="32" t="s">
        <v>26</v>
      </c>
      <c r="B18" s="33"/>
      <c r="C18" s="32"/>
      <c r="D18" s="32"/>
      <c r="E18" s="34">
        <f>SUM(E16:E17)</f>
        <v>4549542</v>
      </c>
      <c r="F18" s="34">
        <f>SUM(F16:F17)</f>
        <v>0</v>
      </c>
      <c r="G18" s="34">
        <f>SUM(G16:G17)</f>
        <v>4549542</v>
      </c>
      <c r="H18" s="33"/>
      <c r="I18" s="34">
        <f>SUM(I16:I17)</f>
        <v>0</v>
      </c>
      <c r="L18" s="34">
        <f t="shared" ref="L18:W18" si="12">SUM(L16:L17)</f>
        <v>0</v>
      </c>
      <c r="M18" s="34">
        <f t="shared" si="12"/>
        <v>0</v>
      </c>
      <c r="N18" s="35">
        <f t="shared" si="12"/>
        <v>4549542</v>
      </c>
      <c r="O18" s="34">
        <f t="shared" si="12"/>
        <v>0</v>
      </c>
      <c r="P18" s="34">
        <f t="shared" si="12"/>
        <v>0</v>
      </c>
      <c r="Q18" s="35">
        <f t="shared" si="12"/>
        <v>4549542</v>
      </c>
      <c r="R18" s="34">
        <f t="shared" si="12"/>
        <v>0</v>
      </c>
      <c r="S18" s="34">
        <f t="shared" si="12"/>
        <v>0</v>
      </c>
      <c r="T18" s="35">
        <f t="shared" si="12"/>
        <v>4549542</v>
      </c>
      <c r="U18" s="34">
        <f t="shared" si="12"/>
        <v>0</v>
      </c>
      <c r="V18" s="34">
        <f t="shared" si="12"/>
        <v>0</v>
      </c>
      <c r="W18" s="35">
        <f t="shared" si="12"/>
        <v>4549542</v>
      </c>
      <c r="X18" s="34">
        <f t="shared" ref="X18:Z18" si="13">SUM(X16:X17)</f>
        <v>0</v>
      </c>
      <c r="Y18" s="34">
        <f t="shared" si="13"/>
        <v>0</v>
      </c>
      <c r="Z18" s="35">
        <f t="shared" si="13"/>
        <v>4549542</v>
      </c>
      <c r="AB18" s="35">
        <f>L18+O18+R18+U18</f>
        <v>0</v>
      </c>
    </row>
    <row r="19" spans="1:28" ht="15.75" customHeight="1" thickTop="1" x14ac:dyDescent="0.25">
      <c r="A19" s="36"/>
      <c r="B19" s="37"/>
      <c r="C19" s="36"/>
      <c r="D19" s="36"/>
      <c r="E19" s="38"/>
      <c r="F19" s="38"/>
      <c r="G19" s="38"/>
      <c r="H19" s="37"/>
      <c r="I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B19" s="38"/>
    </row>
    <row r="20" spans="1:28" ht="14.25" customHeight="1" x14ac:dyDescent="0.2">
      <c r="A20" s="9" t="s">
        <v>1</v>
      </c>
      <c r="B20" s="10" t="s">
        <v>2</v>
      </c>
      <c r="C20" s="11" t="s">
        <v>3</v>
      </c>
      <c r="D20" s="12" t="s">
        <v>4</v>
      </c>
      <c r="E20" s="13" t="s">
        <v>5</v>
      </c>
      <c r="F20" s="13" t="s">
        <v>6</v>
      </c>
      <c r="G20" s="13" t="s">
        <v>7</v>
      </c>
      <c r="H20" s="14" t="s">
        <v>8</v>
      </c>
      <c r="I20" s="15" t="s">
        <v>9</v>
      </c>
      <c r="L20" s="16" t="s">
        <v>10</v>
      </c>
      <c r="M20" s="17" t="s">
        <v>11</v>
      </c>
      <c r="N20" s="18" t="s">
        <v>12</v>
      </c>
      <c r="O20" s="16" t="s">
        <v>13</v>
      </c>
      <c r="P20" s="17" t="s">
        <v>11</v>
      </c>
      <c r="Q20" s="18" t="s">
        <v>12</v>
      </c>
      <c r="R20" s="16" t="s">
        <v>14</v>
      </c>
      <c r="S20" s="17" t="s">
        <v>11</v>
      </c>
      <c r="T20" s="18" t="s">
        <v>12</v>
      </c>
      <c r="U20" s="16" t="s">
        <v>15</v>
      </c>
      <c r="V20" s="17" t="s">
        <v>11</v>
      </c>
      <c r="W20" s="18" t="s">
        <v>12</v>
      </c>
      <c r="X20" s="16" t="s">
        <v>15</v>
      </c>
      <c r="Y20" s="17" t="s">
        <v>11</v>
      </c>
      <c r="Z20" s="18" t="s">
        <v>12</v>
      </c>
    </row>
    <row r="21" spans="1:28" x14ac:dyDescent="0.2">
      <c r="A21" s="19"/>
      <c r="B21" s="19"/>
      <c r="C21" s="19"/>
      <c r="D21" s="12" t="s">
        <v>16</v>
      </c>
      <c r="E21" s="19"/>
      <c r="F21" s="19"/>
      <c r="G21" s="19"/>
      <c r="H21" s="14" t="s">
        <v>17</v>
      </c>
      <c r="I21" s="15" t="s">
        <v>18</v>
      </c>
      <c r="L21" s="17" t="s">
        <v>18</v>
      </c>
      <c r="M21" s="17" t="s">
        <v>18</v>
      </c>
      <c r="N21" s="17" t="s">
        <v>19</v>
      </c>
      <c r="O21" s="17" t="s">
        <v>18</v>
      </c>
      <c r="P21" s="17" t="s">
        <v>18</v>
      </c>
      <c r="Q21" s="17" t="s">
        <v>20</v>
      </c>
      <c r="R21" s="17" t="s">
        <v>18</v>
      </c>
      <c r="S21" s="17" t="s">
        <v>18</v>
      </c>
      <c r="T21" s="17" t="s">
        <v>21</v>
      </c>
      <c r="U21" s="17" t="s">
        <v>18</v>
      </c>
      <c r="V21" s="17" t="s">
        <v>18</v>
      </c>
      <c r="W21" s="17" t="s">
        <v>22</v>
      </c>
      <c r="X21" s="17" t="s">
        <v>18</v>
      </c>
      <c r="Y21" s="17" t="s">
        <v>18</v>
      </c>
      <c r="Z21" s="17" t="s">
        <v>22</v>
      </c>
    </row>
    <row r="22" spans="1:28" ht="15.75" customHeight="1" x14ac:dyDescent="0.25">
      <c r="A22" s="20"/>
      <c r="B22" s="21"/>
      <c r="C22" s="20"/>
      <c r="D22" s="20"/>
      <c r="E22" s="22"/>
      <c r="F22" s="22"/>
      <c r="G22" s="22"/>
      <c r="H22" s="21"/>
      <c r="I22" s="22"/>
      <c r="J22" s="23"/>
      <c r="K22" s="23"/>
      <c r="L22" s="22"/>
      <c r="M22" s="20"/>
      <c r="N22" s="20"/>
      <c r="O22" s="22"/>
      <c r="P22" s="20"/>
      <c r="Q22" s="20"/>
      <c r="R22" s="22"/>
      <c r="S22" s="20"/>
      <c r="T22" s="20"/>
      <c r="U22" s="22"/>
      <c r="V22" s="20"/>
      <c r="W22" s="20"/>
      <c r="X22" s="22"/>
      <c r="Y22" s="20"/>
      <c r="Z22" s="20"/>
    </row>
    <row r="23" spans="1:28" ht="15.75" customHeight="1" x14ac:dyDescent="0.25">
      <c r="A23" s="24" t="s">
        <v>29</v>
      </c>
      <c r="B23" s="25"/>
      <c r="C23" s="1"/>
      <c r="E23" s="4"/>
      <c r="F23" s="4"/>
      <c r="G23" s="4"/>
      <c r="H23" s="2"/>
      <c r="I23" s="4"/>
      <c r="L23" s="4"/>
      <c r="M23" s="1"/>
      <c r="N23" s="1"/>
      <c r="O23" s="4"/>
      <c r="P23" s="1"/>
      <c r="Q23" s="1"/>
      <c r="R23" s="4"/>
      <c r="S23" s="1"/>
      <c r="T23" s="1"/>
      <c r="U23" s="4"/>
      <c r="V23" s="1"/>
      <c r="W23" s="1"/>
      <c r="X23" s="4"/>
      <c r="Y23" s="1"/>
      <c r="Z23" s="1"/>
    </row>
    <row r="24" spans="1:28" ht="15.75" customHeight="1" x14ac:dyDescent="0.25">
      <c r="A24" s="26">
        <v>1</v>
      </c>
      <c r="B24" s="27"/>
      <c r="C24" s="27" t="s">
        <v>29</v>
      </c>
      <c r="D24" s="28"/>
      <c r="E24" s="26">
        <v>9297929.2300000004</v>
      </c>
      <c r="F24" s="4">
        <v>0</v>
      </c>
      <c r="G24" s="26">
        <f>E24*A24</f>
        <v>9297929.2300000004</v>
      </c>
      <c r="H24" s="29"/>
      <c r="I24" s="30"/>
      <c r="L24" s="30"/>
      <c r="M24" s="26"/>
      <c r="N24" s="26">
        <f>G24-L24</f>
        <v>9297929.2300000004</v>
      </c>
      <c r="O24" s="30"/>
      <c r="P24" s="26"/>
      <c r="Q24" s="26">
        <f t="shared" ref="Q24" si="14">N24-O24</f>
        <v>9297929.2300000004</v>
      </c>
      <c r="R24" s="30"/>
      <c r="S24" s="26"/>
      <c r="T24" s="26">
        <f t="shared" ref="T24" si="15">Q24-R24</f>
        <v>9297929.2300000004</v>
      </c>
      <c r="U24" s="30"/>
      <c r="V24" s="26"/>
      <c r="W24" s="26">
        <f t="shared" ref="W24" si="16">T24-U24</f>
        <v>9297929.2300000004</v>
      </c>
      <c r="X24" s="30"/>
      <c r="Y24" s="26"/>
      <c r="Z24" s="26">
        <f t="shared" ref="Z24" si="17">W24-X24</f>
        <v>9297929.2300000004</v>
      </c>
    </row>
    <row r="25" spans="1:28" ht="15.75" customHeight="1" x14ac:dyDescent="0.25">
      <c r="A25" s="26"/>
      <c r="B25" s="27"/>
      <c r="C25" s="27"/>
      <c r="D25" s="31"/>
      <c r="E25" s="26"/>
      <c r="F25" s="26"/>
      <c r="G25" s="26"/>
      <c r="H25" s="29"/>
      <c r="I25" s="30"/>
      <c r="L25" s="30"/>
      <c r="M25" s="26"/>
      <c r="N25" s="26"/>
      <c r="O25" s="30"/>
      <c r="P25" s="26"/>
      <c r="Q25" s="26"/>
      <c r="R25" s="30"/>
      <c r="S25" s="26"/>
      <c r="T25" s="26"/>
      <c r="U25" s="30"/>
      <c r="V25" s="26"/>
      <c r="W25" s="26"/>
      <c r="X25" s="30"/>
      <c r="Y25" s="26"/>
      <c r="Z25" s="26"/>
    </row>
    <row r="26" spans="1:28" ht="15.75" customHeight="1" thickBot="1" x14ac:dyDescent="0.3">
      <c r="A26" s="32" t="s">
        <v>26</v>
      </c>
      <c r="B26" s="33"/>
      <c r="C26" s="32"/>
      <c r="D26" s="32"/>
      <c r="E26" s="34">
        <f>SUM(E24:E25)</f>
        <v>9297929.2300000004</v>
      </c>
      <c r="F26" s="34">
        <f>SUM(F24:F25)</f>
        <v>0</v>
      </c>
      <c r="G26" s="34">
        <f>SUM(G24:G25)</f>
        <v>9297929.2300000004</v>
      </c>
      <c r="H26" s="33"/>
      <c r="I26" s="34">
        <f>SUM(I24:I25)</f>
        <v>0</v>
      </c>
      <c r="L26" s="34">
        <f t="shared" ref="L26:W26" si="18">SUM(L24:L25)</f>
        <v>0</v>
      </c>
      <c r="M26" s="34">
        <f t="shared" si="18"/>
        <v>0</v>
      </c>
      <c r="N26" s="35">
        <f t="shared" si="18"/>
        <v>9297929.2300000004</v>
      </c>
      <c r="O26" s="34">
        <f t="shared" si="18"/>
        <v>0</v>
      </c>
      <c r="P26" s="34">
        <f t="shared" si="18"/>
        <v>0</v>
      </c>
      <c r="Q26" s="35">
        <f t="shared" si="18"/>
        <v>9297929.2300000004</v>
      </c>
      <c r="R26" s="34">
        <f t="shared" si="18"/>
        <v>0</v>
      </c>
      <c r="S26" s="34">
        <f t="shared" si="18"/>
        <v>0</v>
      </c>
      <c r="T26" s="35">
        <f t="shared" si="18"/>
        <v>9297929.2300000004</v>
      </c>
      <c r="U26" s="34">
        <f t="shared" si="18"/>
        <v>0</v>
      </c>
      <c r="V26" s="34">
        <f t="shared" si="18"/>
        <v>0</v>
      </c>
      <c r="W26" s="35">
        <f t="shared" si="18"/>
        <v>9297929.2300000004</v>
      </c>
      <c r="X26" s="34">
        <f t="shared" ref="X26:Z26" si="19">SUM(X24:X25)</f>
        <v>0</v>
      </c>
      <c r="Y26" s="34">
        <f t="shared" si="19"/>
        <v>0</v>
      </c>
      <c r="Z26" s="35">
        <f t="shared" si="19"/>
        <v>9297929.2300000004</v>
      </c>
      <c r="AB26" s="35">
        <f>L26+O26+R26+U26</f>
        <v>0</v>
      </c>
    </row>
    <row r="27" spans="1:28" ht="15.75" customHeight="1" thickTop="1" x14ac:dyDescent="0.25">
      <c r="A27" s="4"/>
      <c r="B27" s="39"/>
      <c r="C27" s="1"/>
      <c r="D27" s="1"/>
      <c r="E27" s="4"/>
      <c r="F27" s="4"/>
      <c r="G27" s="4"/>
      <c r="H27" s="2"/>
      <c r="I27" s="4"/>
      <c r="L27" s="4"/>
      <c r="M27" s="1"/>
      <c r="N27" s="1"/>
      <c r="O27" s="4"/>
      <c r="P27" s="1"/>
      <c r="Q27" s="1"/>
      <c r="R27" s="4"/>
      <c r="S27" s="1"/>
      <c r="T27" s="1"/>
      <c r="U27" s="4"/>
      <c r="V27" s="1"/>
      <c r="W27" s="1"/>
      <c r="X27" s="4"/>
      <c r="Y27" s="1"/>
      <c r="Z27" s="1"/>
    </row>
    <row r="28" spans="1:28" ht="15.75" customHeight="1" x14ac:dyDescent="0.25">
      <c r="A28" s="36"/>
      <c r="B28" s="37"/>
      <c r="C28" s="36"/>
      <c r="D28" s="36"/>
      <c r="E28" s="38"/>
      <c r="F28" s="38"/>
      <c r="G28" s="38"/>
      <c r="H28" s="37"/>
      <c r="I28" s="38"/>
      <c r="L28" s="38"/>
      <c r="M28" s="38"/>
      <c r="N28" s="40"/>
      <c r="O28" s="38"/>
      <c r="P28" s="38"/>
      <c r="Q28" s="40"/>
      <c r="R28" s="38"/>
      <c r="S28" s="38"/>
      <c r="T28" s="40"/>
      <c r="U28" s="38"/>
      <c r="V28" s="38"/>
      <c r="W28" s="40"/>
      <c r="X28" s="38"/>
      <c r="Y28" s="38"/>
      <c r="Z28" s="40"/>
      <c r="AB28" s="40"/>
    </row>
    <row r="29" spans="1:28" ht="15.75" customHeight="1" x14ac:dyDescent="0.25">
      <c r="A29" s="20"/>
      <c r="B29" s="21"/>
      <c r="C29" s="20"/>
      <c r="D29" s="20"/>
      <c r="E29" s="22"/>
      <c r="F29" s="22"/>
      <c r="G29" s="22"/>
      <c r="H29" s="21"/>
      <c r="I29" s="22"/>
      <c r="J29" s="23"/>
      <c r="K29" s="23"/>
      <c r="L29" s="22"/>
      <c r="M29" s="20"/>
      <c r="N29" s="20"/>
      <c r="O29" s="22"/>
      <c r="P29" s="20"/>
      <c r="Q29" s="20"/>
      <c r="R29" s="22"/>
      <c r="S29" s="20"/>
      <c r="T29" s="20"/>
      <c r="U29" s="22"/>
      <c r="V29" s="20"/>
      <c r="W29" s="20"/>
      <c r="X29" s="22"/>
      <c r="Y29" s="20"/>
      <c r="Z29" s="20"/>
    </row>
    <row r="30" spans="1:28" ht="15.75" customHeight="1" x14ac:dyDescent="0.25">
      <c r="A30" s="24" t="s">
        <v>30</v>
      </c>
      <c r="B30" s="25"/>
      <c r="C30" s="1"/>
      <c r="E30" s="4"/>
      <c r="F30" s="4"/>
      <c r="G30" s="4"/>
      <c r="H30" s="2"/>
      <c r="I30" s="4"/>
      <c r="L30" s="4"/>
      <c r="M30" s="1"/>
      <c r="N30" s="1"/>
      <c r="O30" s="4"/>
      <c r="P30" s="1"/>
      <c r="Q30" s="1"/>
      <c r="R30" s="4"/>
      <c r="S30" s="1"/>
      <c r="T30" s="1"/>
      <c r="U30" s="4"/>
      <c r="V30" s="1"/>
      <c r="W30" s="1"/>
      <c r="X30" s="4"/>
      <c r="Y30" s="1"/>
      <c r="Z30" s="1"/>
    </row>
    <row r="31" spans="1:28" ht="15.75" customHeight="1" x14ac:dyDescent="0.25">
      <c r="A31" s="26">
        <v>1</v>
      </c>
      <c r="B31" s="27"/>
      <c r="C31" s="27" t="s">
        <v>31</v>
      </c>
      <c r="D31" s="41" t="s">
        <v>32</v>
      </c>
      <c r="E31" s="26">
        <v>57650</v>
      </c>
      <c r="F31" s="4"/>
      <c r="G31" s="26">
        <f>E31*A31</f>
        <v>57650</v>
      </c>
      <c r="H31" s="29">
        <v>60</v>
      </c>
      <c r="I31" s="30">
        <f>E31/5/12</f>
        <v>960.83333333333337</v>
      </c>
      <c r="L31" s="30"/>
      <c r="M31" s="26">
        <f>L31</f>
        <v>0</v>
      </c>
      <c r="N31" s="26"/>
      <c r="O31" s="30"/>
      <c r="P31" s="26">
        <f>M31+O31</f>
        <v>0</v>
      </c>
      <c r="Q31" s="26">
        <f>N31-O31</f>
        <v>0</v>
      </c>
      <c r="R31" s="30"/>
      <c r="S31" s="26">
        <f>P31+R31</f>
        <v>0</v>
      </c>
      <c r="T31" s="26">
        <f>Q31-R31</f>
        <v>0</v>
      </c>
      <c r="U31" s="30">
        <f>I31*3</f>
        <v>2882.5</v>
      </c>
      <c r="V31" s="26">
        <f>S31+U31</f>
        <v>2882.5</v>
      </c>
      <c r="W31" s="26">
        <f>G31-U31</f>
        <v>54767.5</v>
      </c>
      <c r="X31" s="30">
        <f>L31*3</f>
        <v>0</v>
      </c>
      <c r="Y31" s="26">
        <f>V31+X31</f>
        <v>2882.5</v>
      </c>
      <c r="Z31" s="26">
        <f>J31-X31</f>
        <v>0</v>
      </c>
    </row>
    <row r="32" spans="1:28" ht="15.75" customHeight="1" x14ac:dyDescent="0.25">
      <c r="A32" s="26">
        <v>1</v>
      </c>
      <c r="B32" s="27"/>
      <c r="C32" s="27" t="s">
        <v>33</v>
      </c>
      <c r="D32" s="41" t="s">
        <v>34</v>
      </c>
      <c r="E32" s="26">
        <v>17500</v>
      </c>
      <c r="F32" s="4"/>
      <c r="G32" s="26">
        <f>E32*A32</f>
        <v>17500</v>
      </c>
      <c r="H32" s="29">
        <v>60</v>
      </c>
      <c r="I32" s="30">
        <f>E32/5/12</f>
        <v>291.66666666666669</v>
      </c>
      <c r="L32" s="30">
        <v>0</v>
      </c>
      <c r="M32" s="26">
        <f>L32</f>
        <v>0</v>
      </c>
      <c r="N32" s="26">
        <v>0</v>
      </c>
      <c r="O32" s="30">
        <v>0</v>
      </c>
      <c r="P32" s="26">
        <f>O32</f>
        <v>0</v>
      </c>
      <c r="Q32" s="26">
        <v>0</v>
      </c>
      <c r="R32" s="30">
        <v>0</v>
      </c>
      <c r="S32" s="26">
        <f>R32</f>
        <v>0</v>
      </c>
      <c r="T32" s="26">
        <v>0</v>
      </c>
      <c r="U32" s="30">
        <f>I32*1</f>
        <v>291.66666666666669</v>
      </c>
      <c r="V32" s="26">
        <f>S32+U32</f>
        <v>291.66666666666669</v>
      </c>
      <c r="W32" s="26">
        <f>G32-U32</f>
        <v>17208.333333333332</v>
      </c>
      <c r="X32" s="30">
        <f>L32*1</f>
        <v>0</v>
      </c>
      <c r="Y32" s="26">
        <f>V32+X32</f>
        <v>291.66666666666669</v>
      </c>
      <c r="Z32" s="26">
        <f>J32-X32</f>
        <v>0</v>
      </c>
    </row>
    <row r="33" spans="1:28" ht="15.75" customHeight="1" x14ac:dyDescent="0.25">
      <c r="A33" s="26">
        <v>1</v>
      </c>
      <c r="B33" s="27"/>
      <c r="C33" s="27" t="s">
        <v>35</v>
      </c>
      <c r="D33" s="41" t="s">
        <v>36</v>
      </c>
      <c r="E33" s="26">
        <v>32000</v>
      </c>
      <c r="F33" s="4"/>
      <c r="G33" s="26">
        <f>E33*A33</f>
        <v>32000</v>
      </c>
      <c r="H33" s="29">
        <v>60</v>
      </c>
      <c r="I33" s="30">
        <f>E33/5/12</f>
        <v>533.33333333333337</v>
      </c>
      <c r="L33" s="30">
        <f>I33*3</f>
        <v>1600</v>
      </c>
      <c r="M33" s="26">
        <f>L33</f>
        <v>1600</v>
      </c>
      <c r="N33" s="26">
        <f>G33-L33</f>
        <v>30400</v>
      </c>
      <c r="O33" s="30">
        <f>I33*3</f>
        <v>1600</v>
      </c>
      <c r="P33" s="26">
        <f>M33+O33</f>
        <v>3200</v>
      </c>
      <c r="Q33" s="26">
        <f>N33-O33</f>
        <v>28800</v>
      </c>
      <c r="R33" s="30">
        <f>I33*3</f>
        <v>1600</v>
      </c>
      <c r="S33" s="26">
        <f>P33+R33</f>
        <v>4800</v>
      </c>
      <c r="T33" s="26">
        <f>Q33-R33</f>
        <v>27200</v>
      </c>
      <c r="U33" s="30">
        <f>I33*3</f>
        <v>1600</v>
      </c>
      <c r="V33" s="26">
        <f>S33+U33</f>
        <v>6400</v>
      </c>
      <c r="W33" s="26">
        <f>T33-U33</f>
        <v>25600</v>
      </c>
      <c r="X33" s="30">
        <f>L33*3</f>
        <v>4800</v>
      </c>
      <c r="Y33" s="26">
        <f>V33+X33</f>
        <v>11200</v>
      </c>
      <c r="Z33" s="26">
        <f>W33-X33</f>
        <v>20800</v>
      </c>
    </row>
    <row r="34" spans="1:28" ht="15.75" customHeight="1" x14ac:dyDescent="0.25">
      <c r="A34" s="26">
        <v>1</v>
      </c>
      <c r="B34" s="27"/>
      <c r="C34" s="27" t="s">
        <v>37</v>
      </c>
      <c r="D34" s="41" t="s">
        <v>36</v>
      </c>
      <c r="E34" s="26">
        <v>45000</v>
      </c>
      <c r="F34" s="4"/>
      <c r="G34" s="26">
        <f>E34*A34</f>
        <v>45000</v>
      </c>
      <c r="H34" s="29">
        <v>60</v>
      </c>
      <c r="I34" s="30">
        <f>E34/5/12</f>
        <v>750</v>
      </c>
      <c r="L34" s="30">
        <f>I34*3</f>
        <v>2250</v>
      </c>
      <c r="M34" s="26">
        <f>L34</f>
        <v>2250</v>
      </c>
      <c r="N34" s="26">
        <f>G34-L34</f>
        <v>42750</v>
      </c>
      <c r="O34" s="30">
        <f>I34*3</f>
        <v>2250</v>
      </c>
      <c r="P34" s="26">
        <f>M34+O34</f>
        <v>4500</v>
      </c>
      <c r="Q34" s="26">
        <f>N34-O34</f>
        <v>40500</v>
      </c>
      <c r="R34" s="30">
        <f>I34*3</f>
        <v>2250</v>
      </c>
      <c r="S34" s="26">
        <f>P34+R34</f>
        <v>6750</v>
      </c>
      <c r="T34" s="26">
        <f>Q34-R34</f>
        <v>38250</v>
      </c>
      <c r="U34" s="30">
        <f>I34*3</f>
        <v>2250</v>
      </c>
      <c r="V34" s="26">
        <f>S34+U34</f>
        <v>9000</v>
      </c>
      <c r="W34" s="26">
        <f>T34-U34</f>
        <v>36000</v>
      </c>
      <c r="X34" s="30">
        <f>L34*3</f>
        <v>6750</v>
      </c>
      <c r="Y34" s="26">
        <f>V34+X34</f>
        <v>15750</v>
      </c>
      <c r="Z34" s="26">
        <f>W34-X34</f>
        <v>29250</v>
      </c>
    </row>
    <row r="35" spans="1:28" ht="15.75" customHeight="1" x14ac:dyDescent="0.25">
      <c r="A35" s="26"/>
      <c r="B35" s="27"/>
      <c r="C35" s="27"/>
      <c r="D35" s="31"/>
      <c r="E35" s="26"/>
      <c r="F35" s="26"/>
      <c r="G35" s="26"/>
      <c r="H35" s="29"/>
      <c r="I35" s="30"/>
      <c r="L35" s="30"/>
      <c r="M35" s="26"/>
      <c r="N35" s="26"/>
      <c r="O35" s="30"/>
      <c r="P35" s="26"/>
      <c r="Q35" s="26"/>
      <c r="R35" s="30"/>
      <c r="S35" s="26"/>
      <c r="T35" s="26"/>
      <c r="U35" s="30"/>
      <c r="V35" s="26"/>
      <c r="W35" s="26"/>
      <c r="X35" s="30"/>
      <c r="Y35" s="26"/>
      <c r="Z35" s="26"/>
    </row>
    <row r="36" spans="1:28" ht="15.75" customHeight="1" thickBot="1" x14ac:dyDescent="0.3">
      <c r="A36" s="32" t="s">
        <v>26</v>
      </c>
      <c r="B36" s="33"/>
      <c r="C36" s="32"/>
      <c r="D36" s="32"/>
      <c r="E36" s="34">
        <f>SUM(E31:E35)</f>
        <v>152150</v>
      </c>
      <c r="F36" s="34">
        <f>SUM(F33:F35)</f>
        <v>0</v>
      </c>
      <c r="G36" s="34">
        <f>SUM(G33:G35)</f>
        <v>77000</v>
      </c>
      <c r="H36" s="33"/>
      <c r="I36" s="34">
        <f>SUM(I33:I35)</f>
        <v>1283.3333333333335</v>
      </c>
      <c r="L36" s="34">
        <f>SUM(L31:L35)</f>
        <v>3850</v>
      </c>
      <c r="M36" s="34">
        <f t="shared" ref="M36:W36" si="20">SUM(M31:M35)</f>
        <v>3850</v>
      </c>
      <c r="N36" s="42">
        <f t="shared" si="20"/>
        <v>73150</v>
      </c>
      <c r="O36" s="34">
        <f t="shared" si="20"/>
        <v>3850</v>
      </c>
      <c r="P36" s="34">
        <f t="shared" si="20"/>
        <v>7700</v>
      </c>
      <c r="Q36" s="42">
        <f t="shared" si="20"/>
        <v>69300</v>
      </c>
      <c r="R36" s="34">
        <f t="shared" si="20"/>
        <v>3850</v>
      </c>
      <c r="S36" s="34">
        <f t="shared" si="20"/>
        <v>11550</v>
      </c>
      <c r="T36" s="42">
        <f t="shared" si="20"/>
        <v>65450</v>
      </c>
      <c r="U36" s="34">
        <f t="shared" si="20"/>
        <v>7024.1666666666661</v>
      </c>
      <c r="V36" s="34">
        <f t="shared" si="20"/>
        <v>18574.166666666664</v>
      </c>
      <c r="W36" s="42">
        <f t="shared" si="20"/>
        <v>133575.83333333331</v>
      </c>
      <c r="X36" s="34">
        <f t="shared" ref="X36:Z36" si="21">SUM(X31:X35)</f>
        <v>11550</v>
      </c>
      <c r="Y36" s="34">
        <f t="shared" si="21"/>
        <v>30124.166666666664</v>
      </c>
      <c r="Z36" s="42">
        <f t="shared" si="21"/>
        <v>50050</v>
      </c>
      <c r="AB36" s="35">
        <f>L36+O36+R36+U36</f>
        <v>18574.166666666664</v>
      </c>
    </row>
    <row r="37" spans="1:28" ht="15.75" customHeight="1" thickTop="1" x14ac:dyDescent="0.25">
      <c r="B37" s="2"/>
      <c r="E37" s="4"/>
      <c r="F37" s="4"/>
      <c r="G37" s="4"/>
      <c r="H37" s="2"/>
      <c r="I37" s="4"/>
      <c r="L37" s="4"/>
      <c r="M37" s="1"/>
      <c r="N37" s="1"/>
      <c r="O37" s="4"/>
      <c r="P37" s="1"/>
      <c r="Q37" s="1"/>
      <c r="R37" s="4"/>
      <c r="S37" s="1"/>
      <c r="T37" s="1"/>
      <c r="U37" s="4"/>
      <c r="V37" s="1"/>
      <c r="W37" s="1"/>
      <c r="X37" s="4"/>
      <c r="Y37" s="1"/>
      <c r="Z37" s="1"/>
    </row>
    <row r="38" spans="1:28" ht="14.25" customHeight="1" x14ac:dyDescent="0.2">
      <c r="A38" s="9" t="s">
        <v>1</v>
      </c>
      <c r="B38" s="10" t="s">
        <v>2</v>
      </c>
      <c r="C38" s="11" t="s">
        <v>3</v>
      </c>
      <c r="D38" s="12" t="s">
        <v>4</v>
      </c>
      <c r="E38" s="13" t="s">
        <v>5</v>
      </c>
      <c r="F38" s="13" t="s">
        <v>6</v>
      </c>
      <c r="G38" s="13" t="s">
        <v>7</v>
      </c>
      <c r="H38" s="14" t="s">
        <v>8</v>
      </c>
      <c r="I38" s="15" t="s">
        <v>9</v>
      </c>
      <c r="L38" s="16" t="s">
        <v>10</v>
      </c>
      <c r="M38" s="17" t="s">
        <v>11</v>
      </c>
      <c r="N38" s="18" t="s">
        <v>12</v>
      </c>
      <c r="O38" s="16" t="s">
        <v>13</v>
      </c>
      <c r="P38" s="17" t="s">
        <v>11</v>
      </c>
      <c r="Q38" s="18" t="s">
        <v>12</v>
      </c>
      <c r="R38" s="16" t="s">
        <v>14</v>
      </c>
      <c r="S38" s="17" t="s">
        <v>11</v>
      </c>
      <c r="T38" s="18" t="s">
        <v>12</v>
      </c>
      <c r="U38" s="16" t="s">
        <v>15</v>
      </c>
      <c r="V38" s="17" t="s">
        <v>11</v>
      </c>
      <c r="W38" s="18" t="s">
        <v>12</v>
      </c>
      <c r="X38" s="16" t="s">
        <v>15</v>
      </c>
      <c r="Y38" s="17" t="s">
        <v>11</v>
      </c>
      <c r="Z38" s="18" t="s">
        <v>12</v>
      </c>
    </row>
    <row r="39" spans="1:28" x14ac:dyDescent="0.2">
      <c r="A39" s="19"/>
      <c r="B39" s="19"/>
      <c r="C39" s="19"/>
      <c r="D39" s="12" t="s">
        <v>16</v>
      </c>
      <c r="E39" s="19"/>
      <c r="F39" s="19"/>
      <c r="G39" s="19"/>
      <c r="H39" s="14" t="s">
        <v>17</v>
      </c>
      <c r="I39" s="15" t="s">
        <v>18</v>
      </c>
      <c r="L39" s="17" t="s">
        <v>18</v>
      </c>
      <c r="M39" s="17" t="s">
        <v>18</v>
      </c>
      <c r="N39" s="17" t="s">
        <v>19</v>
      </c>
      <c r="O39" s="17" t="s">
        <v>18</v>
      </c>
      <c r="P39" s="17" t="s">
        <v>18</v>
      </c>
      <c r="Q39" s="17" t="s">
        <v>20</v>
      </c>
      <c r="R39" s="17" t="s">
        <v>18</v>
      </c>
      <c r="S39" s="17" t="s">
        <v>18</v>
      </c>
      <c r="T39" s="17" t="s">
        <v>21</v>
      </c>
      <c r="U39" s="17" t="s">
        <v>18</v>
      </c>
      <c r="V39" s="17" t="s">
        <v>18</v>
      </c>
      <c r="W39" s="17" t="s">
        <v>22</v>
      </c>
      <c r="X39" s="17" t="s">
        <v>18</v>
      </c>
      <c r="Y39" s="17" t="s">
        <v>18</v>
      </c>
      <c r="Z39" s="17" t="s">
        <v>22</v>
      </c>
    </row>
    <row r="40" spans="1:28" ht="15.75" customHeight="1" x14ac:dyDescent="0.25">
      <c r="A40" s="20"/>
      <c r="B40" s="21"/>
      <c r="C40" s="20"/>
      <c r="D40" s="20"/>
      <c r="E40" s="22"/>
      <c r="F40" s="22"/>
      <c r="G40" s="22"/>
      <c r="H40" s="21"/>
      <c r="I40" s="22"/>
      <c r="J40" s="23"/>
      <c r="K40" s="23"/>
      <c r="L40" s="22"/>
      <c r="M40" s="20"/>
      <c r="N40" s="20"/>
      <c r="O40" s="22"/>
      <c r="P40" s="20"/>
      <c r="Q40" s="20"/>
      <c r="R40" s="22"/>
      <c r="S40" s="20"/>
      <c r="T40" s="20"/>
      <c r="U40" s="22"/>
      <c r="V40" s="20"/>
      <c r="W40" s="20"/>
      <c r="X40" s="22"/>
      <c r="Y40" s="20"/>
      <c r="Z40" s="20"/>
    </row>
    <row r="41" spans="1:28" ht="15.75" customHeight="1" x14ac:dyDescent="0.25">
      <c r="A41" s="24" t="s">
        <v>38</v>
      </c>
      <c r="B41" s="25"/>
      <c r="C41" s="1"/>
      <c r="E41" s="4"/>
      <c r="F41" s="4"/>
      <c r="G41" s="4"/>
      <c r="H41" s="2"/>
      <c r="I41" s="4"/>
      <c r="L41" s="4"/>
      <c r="M41" s="1"/>
      <c r="N41" s="1"/>
      <c r="O41" s="4"/>
      <c r="P41" s="1"/>
      <c r="Q41" s="1"/>
      <c r="R41" s="4"/>
      <c r="S41" s="1"/>
      <c r="T41" s="1"/>
      <c r="U41" s="4"/>
      <c r="V41" s="1"/>
      <c r="W41" s="1"/>
      <c r="X41" s="4"/>
      <c r="Y41" s="1"/>
      <c r="Z41" s="1"/>
    </row>
    <row r="42" spans="1:28" ht="15.75" customHeight="1" x14ac:dyDescent="0.25">
      <c r="A42" s="26">
        <v>1</v>
      </c>
      <c r="B42" s="27"/>
      <c r="C42" s="27" t="s">
        <v>39</v>
      </c>
      <c r="D42" s="41" t="s">
        <v>34</v>
      </c>
      <c r="E42" s="26">
        <v>23200</v>
      </c>
      <c r="F42" s="4"/>
      <c r="G42" s="26">
        <f>E42*A42</f>
        <v>23200</v>
      </c>
      <c r="H42" s="29">
        <v>60</v>
      </c>
      <c r="I42" s="30">
        <f>E42/5/12</f>
        <v>386.66666666666669</v>
      </c>
      <c r="L42" s="30">
        <v>0</v>
      </c>
      <c r="M42" s="26">
        <f>L42</f>
        <v>0</v>
      </c>
      <c r="N42" s="26">
        <v>0</v>
      </c>
      <c r="O42" s="30">
        <v>0</v>
      </c>
      <c r="P42" s="26">
        <f>O42</f>
        <v>0</v>
      </c>
      <c r="Q42" s="26">
        <v>0</v>
      </c>
      <c r="R42" s="30">
        <v>0</v>
      </c>
      <c r="S42" s="26">
        <f>R42</f>
        <v>0</v>
      </c>
      <c r="T42" s="26">
        <v>0</v>
      </c>
      <c r="U42" s="30">
        <f>I42*1</f>
        <v>386.66666666666669</v>
      </c>
      <c r="V42" s="26">
        <f>S42+U42</f>
        <v>386.66666666666669</v>
      </c>
      <c r="W42" s="26">
        <f>G42-U42</f>
        <v>22813.333333333332</v>
      </c>
      <c r="X42" s="30">
        <f>L42*1</f>
        <v>0</v>
      </c>
      <c r="Y42" s="26">
        <f>V42+X42</f>
        <v>386.66666666666669</v>
      </c>
      <c r="Z42" s="26">
        <f>J42-X42</f>
        <v>0</v>
      </c>
    </row>
    <row r="43" spans="1:28" ht="15.75" customHeight="1" x14ac:dyDescent="0.25">
      <c r="A43" s="26">
        <v>1</v>
      </c>
      <c r="B43" s="27"/>
      <c r="C43" s="27" t="s">
        <v>40</v>
      </c>
      <c r="D43" s="41" t="s">
        <v>41</v>
      </c>
      <c r="E43" s="26">
        <v>400850</v>
      </c>
      <c r="F43" s="4"/>
      <c r="G43" s="26">
        <f>E43*A43</f>
        <v>400850</v>
      </c>
      <c r="H43" s="29"/>
      <c r="I43" s="30">
        <f>E43/5/12</f>
        <v>6680.833333333333</v>
      </c>
      <c r="L43" s="30"/>
      <c r="M43" s="26"/>
      <c r="N43" s="26"/>
      <c r="O43" s="30"/>
      <c r="P43" s="26"/>
      <c r="Q43" s="26">
        <f t="shared" ref="Q43" si="22">N43-O43</f>
        <v>0</v>
      </c>
      <c r="R43" s="30"/>
      <c r="S43" s="26"/>
      <c r="T43" s="26">
        <f t="shared" ref="T43" si="23">Q43-R43</f>
        <v>0</v>
      </c>
      <c r="U43" s="30">
        <f>I43*1</f>
        <v>6680.833333333333</v>
      </c>
      <c r="V43" s="26">
        <f>S43+U43</f>
        <v>6680.833333333333</v>
      </c>
      <c r="W43" s="26">
        <f>G43-U43</f>
        <v>394169.16666666669</v>
      </c>
      <c r="X43" s="30">
        <f>L43*1</f>
        <v>0</v>
      </c>
      <c r="Y43" s="26">
        <f>V43+X43</f>
        <v>6680.833333333333</v>
      </c>
      <c r="Z43" s="26">
        <f>J43-X43</f>
        <v>0</v>
      </c>
    </row>
    <row r="44" spans="1:28" ht="15.75" customHeight="1" x14ac:dyDescent="0.25">
      <c r="A44" s="26"/>
      <c r="B44" s="27"/>
      <c r="C44" s="27"/>
      <c r="D44" s="31"/>
      <c r="E44" s="26"/>
      <c r="F44" s="26"/>
      <c r="G44" s="26"/>
      <c r="H44" s="29"/>
      <c r="I44" s="30"/>
      <c r="L44" s="30"/>
      <c r="M44" s="26"/>
      <c r="N44" s="26"/>
      <c r="O44" s="30"/>
      <c r="P44" s="26"/>
      <c r="Q44" s="26"/>
      <c r="R44" s="30"/>
      <c r="S44" s="26"/>
      <c r="T44" s="26"/>
      <c r="U44" s="30"/>
      <c r="V44" s="26"/>
      <c r="W44" s="26"/>
      <c r="X44" s="30"/>
      <c r="Y44" s="26"/>
      <c r="Z44" s="26"/>
    </row>
    <row r="45" spans="1:28" ht="15.75" customHeight="1" thickBot="1" x14ac:dyDescent="0.3">
      <c r="A45" s="32" t="s">
        <v>26</v>
      </c>
      <c r="B45" s="33"/>
      <c r="C45" s="32"/>
      <c r="D45" s="32"/>
      <c r="E45" s="34">
        <f>SUM(E42:E44)</f>
        <v>424050</v>
      </c>
      <c r="F45" s="34">
        <f>SUM(F42:F44)</f>
        <v>0</v>
      </c>
      <c r="G45" s="34">
        <f>SUM(G42:G44)</f>
        <v>424050</v>
      </c>
      <c r="H45" s="33"/>
      <c r="I45" s="34">
        <f>SUM(I42:I44)</f>
        <v>7067.5</v>
      </c>
      <c r="L45" s="34">
        <f t="shared" ref="L45:W45" si="24">SUM(L42:L44)</f>
        <v>0</v>
      </c>
      <c r="M45" s="34">
        <f t="shared" si="24"/>
        <v>0</v>
      </c>
      <c r="N45" s="35">
        <f t="shared" si="24"/>
        <v>0</v>
      </c>
      <c r="O45" s="34">
        <f t="shared" si="24"/>
        <v>0</v>
      </c>
      <c r="P45" s="34">
        <f t="shared" si="24"/>
        <v>0</v>
      </c>
      <c r="Q45" s="35">
        <f t="shared" si="24"/>
        <v>0</v>
      </c>
      <c r="R45" s="34">
        <f t="shared" si="24"/>
        <v>0</v>
      </c>
      <c r="S45" s="34">
        <f t="shared" si="24"/>
        <v>0</v>
      </c>
      <c r="T45" s="35">
        <f t="shared" si="24"/>
        <v>0</v>
      </c>
      <c r="U45" s="34">
        <f t="shared" si="24"/>
        <v>7067.5</v>
      </c>
      <c r="V45" s="34">
        <f t="shared" si="24"/>
        <v>7067.5</v>
      </c>
      <c r="W45" s="35">
        <f t="shared" si="24"/>
        <v>416982.5</v>
      </c>
      <c r="X45" s="34">
        <f t="shared" ref="X45:Z45" si="25">SUM(X42:X44)</f>
        <v>0</v>
      </c>
      <c r="Y45" s="34">
        <f t="shared" si="25"/>
        <v>7067.5</v>
      </c>
      <c r="Z45" s="35">
        <f t="shared" si="25"/>
        <v>0</v>
      </c>
      <c r="AB45" s="35">
        <f>L45+O45+R45+U45</f>
        <v>7067.5</v>
      </c>
    </row>
    <row r="46" spans="1:28" ht="15.6" customHeight="1" thickTop="1" x14ac:dyDescent="0.25">
      <c r="B46" s="2"/>
      <c r="E46" s="4"/>
      <c r="F46" s="4"/>
      <c r="G46" s="4"/>
      <c r="H46" s="2"/>
      <c r="I46" s="4"/>
      <c r="L46" s="4"/>
      <c r="M46" s="1"/>
      <c r="N46" s="1"/>
      <c r="O46" s="4"/>
      <c r="P46" s="1"/>
      <c r="Q46" s="1"/>
      <c r="R46" s="4"/>
      <c r="S46" s="1"/>
      <c r="T46" s="1"/>
      <c r="U46" s="4"/>
      <c r="V46" s="1"/>
      <c r="W46" s="1"/>
      <c r="X46" s="4"/>
      <c r="Y46" s="1"/>
      <c r="Z46" s="1"/>
    </row>
    <row r="47" spans="1:28" ht="14.25" customHeight="1" x14ac:dyDescent="0.2">
      <c r="A47" s="9" t="s">
        <v>1</v>
      </c>
      <c r="B47" s="10" t="s">
        <v>2</v>
      </c>
      <c r="C47" s="11" t="s">
        <v>3</v>
      </c>
      <c r="D47" s="12" t="s">
        <v>4</v>
      </c>
      <c r="E47" s="13" t="s">
        <v>5</v>
      </c>
      <c r="F47" s="13" t="s">
        <v>6</v>
      </c>
      <c r="G47" s="13" t="s">
        <v>7</v>
      </c>
      <c r="H47" s="14" t="s">
        <v>8</v>
      </c>
      <c r="I47" s="15" t="s">
        <v>9</v>
      </c>
      <c r="L47" s="16" t="s">
        <v>10</v>
      </c>
      <c r="M47" s="17" t="s">
        <v>11</v>
      </c>
      <c r="N47" s="18" t="s">
        <v>12</v>
      </c>
      <c r="O47" s="16" t="s">
        <v>13</v>
      </c>
      <c r="P47" s="17" t="s">
        <v>11</v>
      </c>
      <c r="Q47" s="18" t="s">
        <v>12</v>
      </c>
      <c r="R47" s="16" t="s">
        <v>14</v>
      </c>
      <c r="S47" s="17" t="s">
        <v>11</v>
      </c>
      <c r="T47" s="18" t="s">
        <v>12</v>
      </c>
      <c r="U47" s="16" t="s">
        <v>15</v>
      </c>
      <c r="V47" s="17" t="s">
        <v>11</v>
      </c>
      <c r="W47" s="18" t="s">
        <v>12</v>
      </c>
      <c r="X47" s="16" t="s">
        <v>15</v>
      </c>
      <c r="Y47" s="17" t="s">
        <v>11</v>
      </c>
      <c r="Z47" s="18" t="s">
        <v>12</v>
      </c>
    </row>
    <row r="48" spans="1:28" x14ac:dyDescent="0.2">
      <c r="A48" s="19"/>
      <c r="B48" s="19"/>
      <c r="C48" s="19"/>
      <c r="D48" s="12" t="s">
        <v>16</v>
      </c>
      <c r="E48" s="19"/>
      <c r="F48" s="19"/>
      <c r="G48" s="19"/>
      <c r="H48" s="14" t="s">
        <v>17</v>
      </c>
      <c r="I48" s="15" t="s">
        <v>18</v>
      </c>
      <c r="L48" s="17" t="s">
        <v>18</v>
      </c>
      <c r="M48" s="17" t="s">
        <v>18</v>
      </c>
      <c r="N48" s="17" t="s">
        <v>19</v>
      </c>
      <c r="O48" s="17" t="s">
        <v>18</v>
      </c>
      <c r="P48" s="17" t="s">
        <v>18</v>
      </c>
      <c r="Q48" s="17" t="s">
        <v>20</v>
      </c>
      <c r="R48" s="17" t="s">
        <v>18</v>
      </c>
      <c r="S48" s="17" t="s">
        <v>18</v>
      </c>
      <c r="T48" s="17" t="s">
        <v>21</v>
      </c>
      <c r="U48" s="17" t="s">
        <v>18</v>
      </c>
      <c r="V48" s="17" t="s">
        <v>18</v>
      </c>
      <c r="W48" s="17" t="s">
        <v>22</v>
      </c>
      <c r="X48" s="17" t="s">
        <v>18</v>
      </c>
      <c r="Y48" s="17" t="s">
        <v>18</v>
      </c>
      <c r="Z48" s="17" t="s">
        <v>22</v>
      </c>
    </row>
    <row r="49" spans="1:28" ht="15.75" customHeight="1" x14ac:dyDescent="0.25">
      <c r="A49" s="20"/>
      <c r="B49" s="21"/>
      <c r="C49" s="20"/>
      <c r="D49" s="20"/>
      <c r="E49" s="22"/>
      <c r="F49" s="22"/>
      <c r="G49" s="22"/>
      <c r="H49" s="21"/>
      <c r="I49" s="22"/>
      <c r="J49" s="23"/>
      <c r="K49" s="23"/>
      <c r="L49" s="22"/>
      <c r="M49" s="20"/>
      <c r="N49" s="20"/>
      <c r="O49" s="22"/>
      <c r="P49" s="20"/>
      <c r="Q49" s="20"/>
      <c r="R49" s="22"/>
      <c r="S49" s="20"/>
      <c r="T49" s="20"/>
      <c r="U49" s="22"/>
      <c r="V49" s="20"/>
      <c r="W49" s="20"/>
      <c r="X49" s="22"/>
      <c r="Y49" s="20"/>
      <c r="Z49" s="20"/>
    </row>
    <row r="50" spans="1:28" ht="15.75" customHeight="1" x14ac:dyDescent="0.25">
      <c r="A50" s="4"/>
      <c r="B50" s="39"/>
      <c r="C50" s="1"/>
      <c r="D50" s="1"/>
      <c r="E50" s="4"/>
      <c r="F50" s="4"/>
      <c r="G50" s="4"/>
      <c r="H50" s="2"/>
      <c r="I50" s="4"/>
      <c r="L50" s="4"/>
      <c r="M50" s="1"/>
      <c r="N50" s="1"/>
      <c r="O50" s="4"/>
      <c r="P50" s="1"/>
      <c r="Q50" s="1"/>
      <c r="R50" s="4"/>
      <c r="S50" s="1"/>
      <c r="T50" s="1"/>
      <c r="U50" s="4"/>
      <c r="V50" s="1"/>
      <c r="W50" s="1"/>
      <c r="X50" s="4"/>
      <c r="Y50" s="1"/>
      <c r="Z50" s="1"/>
    </row>
    <row r="51" spans="1:28" ht="15.75" customHeight="1" thickBot="1" x14ac:dyDescent="0.3">
      <c r="A51" s="43" t="s">
        <v>42</v>
      </c>
      <c r="B51" s="44"/>
      <c r="C51" s="43"/>
      <c r="D51" s="43"/>
      <c r="E51" s="45"/>
      <c r="F51" s="45"/>
      <c r="G51" s="45">
        <f>G10+G18+G26+G36+G45</f>
        <v>18018979.23</v>
      </c>
      <c r="H51" s="45">
        <f t="shared" ref="H51:AB51" si="26">H10+H18+H26+H36+H45</f>
        <v>0</v>
      </c>
      <c r="I51" s="45">
        <f t="shared" si="26"/>
        <v>8350.8333333333339</v>
      </c>
      <c r="J51" s="45">
        <f t="shared" si="26"/>
        <v>0</v>
      </c>
      <c r="K51" s="45">
        <f t="shared" si="26"/>
        <v>0</v>
      </c>
      <c r="L51" s="45">
        <f t="shared" si="26"/>
        <v>3850</v>
      </c>
      <c r="M51" s="45">
        <f t="shared" si="26"/>
        <v>3850</v>
      </c>
      <c r="N51" s="45">
        <f t="shared" si="26"/>
        <v>17591079.23</v>
      </c>
      <c r="O51" s="45">
        <f t="shared" si="26"/>
        <v>3850</v>
      </c>
      <c r="P51" s="45">
        <f t="shared" si="26"/>
        <v>7700</v>
      </c>
      <c r="Q51" s="45">
        <f t="shared" si="26"/>
        <v>17587229.23</v>
      </c>
      <c r="R51" s="45">
        <f t="shared" si="26"/>
        <v>3850</v>
      </c>
      <c r="S51" s="45">
        <f t="shared" si="26"/>
        <v>11550</v>
      </c>
      <c r="T51" s="45">
        <f t="shared" si="26"/>
        <v>17583379.23</v>
      </c>
      <c r="U51" s="45">
        <f t="shared" si="26"/>
        <v>14091.666666666666</v>
      </c>
      <c r="V51" s="45">
        <f t="shared" si="26"/>
        <v>25641.666666666664</v>
      </c>
      <c r="W51" s="45">
        <f t="shared" si="26"/>
        <v>18068487.563333333</v>
      </c>
      <c r="X51" s="45">
        <f t="shared" ref="X51:Z51" si="27">X10+X18+X26+X36+X45</f>
        <v>11550</v>
      </c>
      <c r="Y51" s="45">
        <f t="shared" si="27"/>
        <v>37191.666666666664</v>
      </c>
      <c r="Z51" s="45">
        <f t="shared" si="27"/>
        <v>17567979.23</v>
      </c>
      <c r="AB51" s="45">
        <f t="shared" si="26"/>
        <v>25641.666666666664</v>
      </c>
    </row>
    <row r="52" spans="1:28" ht="15.75" customHeight="1" thickTop="1" x14ac:dyDescent="0.25">
      <c r="A52" s="4"/>
      <c r="B52" s="39"/>
      <c r="C52" s="1"/>
      <c r="D52" s="1"/>
      <c r="E52" s="4"/>
      <c r="F52" s="4"/>
      <c r="G52" s="4"/>
      <c r="H52" s="2"/>
      <c r="I52" s="4"/>
      <c r="L52" s="4"/>
      <c r="M52" s="1"/>
      <c r="N52" s="1"/>
      <c r="O52" s="4"/>
      <c r="P52" s="1"/>
      <c r="Q52" s="1"/>
      <c r="R52" s="4"/>
      <c r="S52" s="1"/>
      <c r="T52" s="1"/>
      <c r="U52" s="4"/>
      <c r="V52" s="1"/>
      <c r="W52" s="1"/>
      <c r="X52" s="4"/>
      <c r="Y52" s="1"/>
      <c r="Z52" s="1"/>
    </row>
    <row r="53" spans="1:28" ht="15.75" customHeight="1" x14ac:dyDescent="0.25">
      <c r="B53" s="2"/>
      <c r="E53" s="4"/>
      <c r="F53" s="4"/>
      <c r="G53" s="4"/>
      <c r="H53" s="2"/>
      <c r="I53" s="4"/>
      <c r="L53" s="4"/>
      <c r="M53" s="1"/>
      <c r="N53" s="1"/>
      <c r="O53" s="4"/>
      <c r="P53" s="1"/>
      <c r="Q53" s="1"/>
      <c r="R53" s="4"/>
      <c r="S53" s="1"/>
      <c r="T53" s="1"/>
      <c r="U53" s="4"/>
      <c r="V53" s="1"/>
      <c r="W53" s="1"/>
      <c r="X53" s="4"/>
      <c r="Y53" s="1"/>
      <c r="Z53" s="1"/>
    </row>
    <row r="54" spans="1:28" ht="15.75" customHeight="1" x14ac:dyDescent="0.25">
      <c r="B54" s="2"/>
      <c r="E54" s="4"/>
      <c r="F54" s="4"/>
      <c r="G54" s="4"/>
      <c r="H54" s="2"/>
      <c r="I54" s="4"/>
      <c r="L54" s="4"/>
      <c r="M54" s="1"/>
      <c r="N54" s="1"/>
      <c r="O54" s="4"/>
      <c r="P54" s="1"/>
      <c r="Q54" s="1"/>
      <c r="R54" s="4"/>
      <c r="S54" s="1"/>
      <c r="T54" s="1"/>
      <c r="U54" s="4"/>
      <c r="V54" s="1"/>
      <c r="W54" s="1"/>
      <c r="X54" s="4"/>
      <c r="Y54" s="1"/>
      <c r="Z54" s="1"/>
    </row>
    <row r="55" spans="1:28" ht="15.75" customHeight="1" x14ac:dyDescent="0.25">
      <c r="B55" s="2"/>
      <c r="E55" s="4"/>
      <c r="F55" s="4"/>
      <c r="G55" s="4"/>
      <c r="H55" s="2"/>
      <c r="I55" s="4"/>
      <c r="L55" s="4"/>
      <c r="M55" s="1"/>
      <c r="N55" s="1"/>
      <c r="O55" s="4"/>
      <c r="P55" s="1"/>
      <c r="Q55" s="1"/>
      <c r="R55" s="4"/>
      <c r="S55" s="1"/>
      <c r="T55" s="1"/>
      <c r="U55" s="4"/>
      <c r="V55" s="1"/>
      <c r="W55" s="1"/>
      <c r="X55" s="4"/>
      <c r="Y55" s="1"/>
      <c r="Z55" s="1"/>
    </row>
    <row r="56" spans="1:28" ht="15.75" customHeight="1" x14ac:dyDescent="0.25">
      <c r="B56" s="2"/>
      <c r="E56" s="4"/>
      <c r="F56" s="4"/>
      <c r="G56" s="4"/>
      <c r="H56" s="2"/>
      <c r="I56" s="4"/>
      <c r="L56" s="4"/>
      <c r="M56" s="1"/>
      <c r="N56" s="1"/>
      <c r="O56" s="4"/>
      <c r="P56" s="1"/>
      <c r="Q56" s="1"/>
      <c r="R56" s="4"/>
      <c r="S56" s="1"/>
      <c r="T56" s="1"/>
      <c r="U56" s="4"/>
      <c r="V56" s="1"/>
      <c r="W56" s="1"/>
      <c r="X56" s="4"/>
      <c r="Y56" s="1"/>
      <c r="Z56" s="1"/>
    </row>
    <row r="57" spans="1:28" ht="15.75" customHeight="1" x14ac:dyDescent="0.25">
      <c r="B57" s="2"/>
      <c r="E57" s="4"/>
      <c r="F57" s="4"/>
      <c r="G57" s="4"/>
      <c r="H57" s="2"/>
      <c r="I57" s="4"/>
      <c r="L57" s="4"/>
      <c r="M57" s="1"/>
      <c r="N57" s="1"/>
      <c r="O57" s="4"/>
      <c r="P57" s="1"/>
      <c r="Q57" s="1"/>
      <c r="R57" s="4"/>
      <c r="S57" s="1"/>
      <c r="T57" s="1"/>
      <c r="U57" s="4"/>
      <c r="V57" s="1"/>
      <c r="W57" s="1"/>
      <c r="X57" s="4"/>
      <c r="Y57" s="1"/>
      <c r="Z57" s="1"/>
    </row>
    <row r="58" spans="1:28" ht="15.75" customHeight="1" x14ac:dyDescent="0.25">
      <c r="B58" s="2"/>
      <c r="E58" s="4"/>
      <c r="F58" s="4"/>
      <c r="G58" s="4"/>
      <c r="H58" s="2"/>
      <c r="I58" s="4"/>
      <c r="L58" s="4"/>
      <c r="M58" s="1"/>
      <c r="N58" s="1"/>
      <c r="O58" s="4"/>
      <c r="P58" s="1"/>
      <c r="Q58" s="1"/>
      <c r="R58" s="4"/>
      <c r="S58" s="1"/>
      <c r="T58" s="1"/>
      <c r="U58" s="4"/>
      <c r="V58" s="1"/>
      <c r="W58" s="1"/>
      <c r="X58" s="4"/>
      <c r="Y58" s="1"/>
      <c r="Z58" s="1"/>
    </row>
    <row r="59" spans="1:28" ht="15.75" customHeight="1" x14ac:dyDescent="0.25">
      <c r="B59" s="2"/>
      <c r="E59" s="4"/>
      <c r="F59" s="4"/>
      <c r="G59" s="4"/>
      <c r="H59" s="2"/>
      <c r="I59" s="4"/>
      <c r="L59" s="4"/>
      <c r="M59" s="1"/>
      <c r="N59" s="1"/>
      <c r="O59" s="4"/>
      <c r="P59" s="1"/>
      <c r="Q59" s="1"/>
      <c r="R59" s="4"/>
      <c r="S59" s="1"/>
      <c r="T59" s="1"/>
      <c r="U59" s="4"/>
      <c r="V59" s="1"/>
      <c r="W59" s="1"/>
      <c r="X59" s="4"/>
      <c r="Y59" s="1"/>
      <c r="Z59" s="1"/>
    </row>
    <row r="60" spans="1:28" ht="15.75" customHeight="1" x14ac:dyDescent="0.25">
      <c r="B60" s="2"/>
      <c r="E60" s="4"/>
      <c r="F60" s="4"/>
      <c r="G60" s="4"/>
      <c r="H60" s="2"/>
      <c r="I60" s="4"/>
      <c r="L60" s="4"/>
      <c r="M60" s="1"/>
      <c r="N60" s="1"/>
      <c r="O60" s="4"/>
      <c r="P60" s="1"/>
      <c r="Q60" s="1"/>
      <c r="R60" s="4"/>
      <c r="S60" s="1"/>
      <c r="T60" s="1"/>
      <c r="U60" s="4"/>
      <c r="V60" s="1"/>
      <c r="W60" s="1"/>
      <c r="X60" s="4"/>
      <c r="Y60" s="1"/>
      <c r="Z60" s="1"/>
    </row>
    <row r="61" spans="1:28" ht="15.75" customHeight="1" x14ac:dyDescent="0.25">
      <c r="B61" s="2"/>
      <c r="E61" s="4"/>
      <c r="F61" s="4"/>
      <c r="G61" s="4"/>
      <c r="H61" s="2"/>
      <c r="I61" s="4"/>
      <c r="L61" s="4"/>
      <c r="M61" s="1"/>
      <c r="N61" s="1"/>
      <c r="O61" s="4"/>
      <c r="P61" s="1"/>
      <c r="Q61" s="1"/>
      <c r="R61" s="4"/>
      <c r="S61" s="1"/>
      <c r="T61" s="1"/>
      <c r="U61" s="4"/>
      <c r="V61" s="1"/>
      <c r="W61" s="1"/>
      <c r="X61" s="4"/>
      <c r="Y61" s="1"/>
      <c r="Z61" s="1"/>
    </row>
    <row r="62" spans="1:28" ht="15.75" customHeight="1" x14ac:dyDescent="0.25">
      <c r="B62" s="2"/>
      <c r="E62" s="4"/>
      <c r="F62" s="4"/>
      <c r="G62" s="4"/>
      <c r="H62" s="2"/>
      <c r="I62" s="4"/>
      <c r="L62" s="4"/>
      <c r="M62" s="1"/>
      <c r="N62" s="1"/>
      <c r="O62" s="4"/>
      <c r="P62" s="1"/>
      <c r="Q62" s="1"/>
      <c r="R62" s="4"/>
      <c r="S62" s="1"/>
      <c r="T62" s="1"/>
      <c r="U62" s="4"/>
      <c r="V62" s="1"/>
      <c r="W62" s="1"/>
      <c r="X62" s="4"/>
      <c r="Y62" s="1"/>
      <c r="Z62" s="1"/>
    </row>
    <row r="63" spans="1:28" ht="15.75" customHeight="1" x14ac:dyDescent="0.25">
      <c r="B63" s="2"/>
      <c r="E63" s="4"/>
      <c r="F63" s="4"/>
      <c r="G63" s="4"/>
      <c r="H63" s="2"/>
      <c r="I63" s="4"/>
      <c r="L63" s="4"/>
      <c r="M63" s="1"/>
      <c r="N63" s="1"/>
      <c r="O63" s="4"/>
      <c r="P63" s="1"/>
      <c r="Q63" s="1"/>
      <c r="R63" s="4"/>
      <c r="S63" s="1"/>
      <c r="T63" s="1"/>
      <c r="U63" s="4"/>
      <c r="V63" s="1"/>
      <c r="W63" s="1"/>
      <c r="X63" s="4"/>
      <c r="Y63" s="1"/>
      <c r="Z63" s="1"/>
    </row>
    <row r="64" spans="1:28" ht="15.75" customHeight="1" x14ac:dyDescent="0.25">
      <c r="B64" s="2"/>
      <c r="E64" s="4"/>
      <c r="F64" s="4"/>
      <c r="G64" s="4"/>
      <c r="H64" s="2"/>
      <c r="I64" s="4"/>
      <c r="L64" s="4"/>
      <c r="M64" s="1"/>
      <c r="N64" s="1"/>
      <c r="O64" s="4"/>
      <c r="P64" s="1"/>
      <c r="Q64" s="1"/>
      <c r="R64" s="4"/>
      <c r="S64" s="1"/>
      <c r="T64" s="1"/>
      <c r="U64" s="4"/>
      <c r="V64" s="1"/>
      <c r="W64" s="1"/>
      <c r="X64" s="4"/>
      <c r="Y64" s="1"/>
      <c r="Z64" s="1"/>
    </row>
    <row r="65" spans="2:26" ht="15.75" customHeight="1" x14ac:dyDescent="0.25">
      <c r="B65" s="2"/>
      <c r="E65" s="4"/>
      <c r="F65" s="4"/>
      <c r="G65" s="4"/>
      <c r="H65" s="2"/>
      <c r="I65" s="4"/>
      <c r="L65" s="4"/>
      <c r="M65" s="1"/>
      <c r="N65" s="1"/>
      <c r="O65" s="4"/>
      <c r="P65" s="1"/>
      <c r="Q65" s="1"/>
      <c r="R65" s="4"/>
      <c r="S65" s="1"/>
      <c r="T65" s="1"/>
      <c r="U65" s="4"/>
      <c r="V65" s="1"/>
      <c r="W65" s="1"/>
      <c r="X65" s="4"/>
      <c r="Y65" s="1"/>
      <c r="Z65" s="1"/>
    </row>
    <row r="66" spans="2:26" ht="15.75" customHeight="1" x14ac:dyDescent="0.25">
      <c r="B66" s="2"/>
      <c r="E66" s="4"/>
      <c r="F66" s="4"/>
      <c r="G66" s="4"/>
      <c r="H66" s="2"/>
      <c r="I66" s="4"/>
      <c r="L66" s="4"/>
      <c r="M66" s="1"/>
      <c r="N66" s="1"/>
      <c r="O66" s="4"/>
      <c r="P66" s="1"/>
      <c r="Q66" s="1"/>
      <c r="R66" s="4"/>
      <c r="S66" s="1"/>
      <c r="T66" s="1"/>
      <c r="U66" s="4"/>
      <c r="V66" s="1"/>
      <c r="W66" s="1"/>
      <c r="X66" s="4"/>
      <c r="Y66" s="1"/>
      <c r="Z66" s="1"/>
    </row>
    <row r="67" spans="2:26" ht="15.75" customHeight="1" x14ac:dyDescent="0.25">
      <c r="B67" s="2"/>
      <c r="E67" s="4"/>
      <c r="F67" s="4"/>
      <c r="G67" s="4"/>
      <c r="H67" s="2"/>
      <c r="I67" s="4"/>
      <c r="L67" s="4"/>
      <c r="M67" s="1"/>
      <c r="N67" s="1"/>
      <c r="O67" s="4"/>
      <c r="P67" s="1"/>
      <c r="Q67" s="1"/>
      <c r="R67" s="4"/>
      <c r="S67" s="1"/>
      <c r="T67" s="1"/>
      <c r="U67" s="4"/>
      <c r="V67" s="1"/>
      <c r="W67" s="1"/>
      <c r="X67" s="4"/>
      <c r="Y67" s="1"/>
      <c r="Z67" s="1"/>
    </row>
    <row r="68" spans="2:26" ht="15.75" customHeight="1" x14ac:dyDescent="0.25">
      <c r="B68" s="2"/>
      <c r="E68" s="4"/>
      <c r="F68" s="4"/>
      <c r="G68" s="4"/>
      <c r="H68" s="2"/>
      <c r="I68" s="4"/>
      <c r="L68" s="4"/>
      <c r="M68" s="1"/>
      <c r="N68" s="1"/>
      <c r="O68" s="4"/>
      <c r="P68" s="1"/>
      <c r="Q68" s="1"/>
      <c r="R68" s="4"/>
      <c r="S68" s="1"/>
      <c r="T68" s="1"/>
      <c r="U68" s="4"/>
      <c r="V68" s="1"/>
      <c r="W68" s="1"/>
      <c r="X68" s="4"/>
      <c r="Y68" s="1"/>
      <c r="Z68" s="1"/>
    </row>
    <row r="69" spans="2:26" ht="15.75" customHeight="1" x14ac:dyDescent="0.25">
      <c r="B69" s="2"/>
      <c r="E69" s="4"/>
      <c r="F69" s="4"/>
      <c r="G69" s="4"/>
      <c r="H69" s="2"/>
      <c r="I69" s="4"/>
      <c r="L69" s="4"/>
      <c r="M69" s="1"/>
      <c r="N69" s="1"/>
      <c r="O69" s="4"/>
      <c r="P69" s="1"/>
      <c r="Q69" s="1"/>
      <c r="R69" s="4"/>
      <c r="S69" s="1"/>
      <c r="T69" s="1"/>
      <c r="U69" s="4"/>
      <c r="V69" s="1"/>
      <c r="W69" s="1"/>
      <c r="X69" s="4"/>
      <c r="Y69" s="1"/>
      <c r="Z69" s="1"/>
    </row>
    <row r="70" spans="2:26" ht="15.75" customHeight="1" x14ac:dyDescent="0.25">
      <c r="B70" s="2"/>
      <c r="E70" s="4"/>
      <c r="F70" s="4"/>
      <c r="G70" s="4"/>
      <c r="H70" s="2"/>
      <c r="I70" s="4"/>
      <c r="L70" s="4"/>
      <c r="M70" s="1"/>
      <c r="N70" s="1"/>
      <c r="O70" s="4"/>
      <c r="P70" s="1"/>
      <c r="Q70" s="1"/>
      <c r="R70" s="4"/>
      <c r="S70" s="1"/>
      <c r="T70" s="1"/>
      <c r="U70" s="4"/>
      <c r="V70" s="1"/>
      <c r="W70" s="1"/>
      <c r="X70" s="4"/>
      <c r="Y70" s="1"/>
      <c r="Z70" s="1"/>
    </row>
    <row r="71" spans="2:26" ht="15.75" customHeight="1" x14ac:dyDescent="0.25">
      <c r="B71" s="2"/>
      <c r="E71" s="4"/>
      <c r="F71" s="4"/>
      <c r="G71" s="4"/>
      <c r="H71" s="2"/>
      <c r="I71" s="4"/>
      <c r="L71" s="4"/>
      <c r="M71" s="1"/>
      <c r="N71" s="1"/>
      <c r="O71" s="4"/>
      <c r="P71" s="1"/>
      <c r="Q71" s="1"/>
      <c r="R71" s="4"/>
      <c r="S71" s="1"/>
      <c r="T71" s="1"/>
      <c r="U71" s="4"/>
      <c r="V71" s="1"/>
      <c r="W71" s="1"/>
      <c r="X71" s="4"/>
      <c r="Y71" s="1"/>
      <c r="Z71" s="1"/>
    </row>
    <row r="72" spans="2:26" ht="15.75" customHeight="1" x14ac:dyDescent="0.25">
      <c r="B72" s="2"/>
      <c r="E72" s="4"/>
      <c r="F72" s="4"/>
      <c r="G72" s="4"/>
      <c r="H72" s="2"/>
      <c r="I72" s="4"/>
      <c r="L72" s="4"/>
      <c r="M72" s="1"/>
      <c r="N72" s="1"/>
      <c r="O72" s="4"/>
      <c r="P72" s="1"/>
      <c r="Q72" s="1"/>
      <c r="R72" s="4"/>
      <c r="S72" s="1"/>
      <c r="T72" s="1"/>
      <c r="U72" s="4"/>
      <c r="V72" s="1"/>
      <c r="W72" s="1"/>
      <c r="X72" s="4"/>
      <c r="Y72" s="1"/>
      <c r="Z72" s="1"/>
    </row>
    <row r="73" spans="2:26" ht="15.75" customHeight="1" x14ac:dyDescent="0.25">
      <c r="B73" s="2"/>
      <c r="E73" s="4"/>
      <c r="F73" s="4"/>
      <c r="G73" s="4"/>
      <c r="H73" s="2"/>
      <c r="I73" s="4"/>
      <c r="L73" s="4"/>
      <c r="M73" s="1"/>
      <c r="N73" s="1"/>
      <c r="O73" s="4"/>
      <c r="P73" s="1"/>
      <c r="Q73" s="1"/>
      <c r="R73" s="4"/>
      <c r="S73" s="1"/>
      <c r="T73" s="1"/>
      <c r="U73" s="4"/>
      <c r="V73" s="1"/>
      <c r="W73" s="1"/>
      <c r="X73" s="4"/>
      <c r="Y73" s="1"/>
      <c r="Z73" s="1"/>
    </row>
    <row r="74" spans="2:26" ht="15.75" customHeight="1" x14ac:dyDescent="0.25">
      <c r="B74" s="2"/>
      <c r="E74" s="4"/>
      <c r="F74" s="4"/>
      <c r="G74" s="4"/>
      <c r="H74" s="2"/>
      <c r="I74" s="4"/>
      <c r="L74" s="4"/>
      <c r="M74" s="1"/>
      <c r="N74" s="1"/>
      <c r="O74" s="4"/>
      <c r="P74" s="1"/>
      <c r="Q74" s="1"/>
      <c r="R74" s="4"/>
      <c r="S74" s="1"/>
      <c r="T74" s="1"/>
      <c r="U74" s="4"/>
      <c r="V74" s="1"/>
      <c r="W74" s="1"/>
      <c r="X74" s="4"/>
      <c r="Y74" s="1"/>
      <c r="Z74" s="1"/>
    </row>
    <row r="75" spans="2:26" ht="15.75" customHeight="1" x14ac:dyDescent="0.25">
      <c r="B75" s="2"/>
      <c r="E75" s="4"/>
      <c r="F75" s="4"/>
      <c r="G75" s="4"/>
      <c r="H75" s="2"/>
      <c r="I75" s="4"/>
      <c r="L75" s="4"/>
      <c r="M75" s="1"/>
      <c r="N75" s="1"/>
      <c r="O75" s="4"/>
      <c r="P75" s="1"/>
      <c r="Q75" s="1"/>
      <c r="R75" s="4"/>
      <c r="S75" s="1"/>
      <c r="T75" s="1"/>
      <c r="U75" s="4"/>
      <c r="V75" s="1"/>
      <c r="W75" s="1"/>
      <c r="X75" s="4"/>
      <c r="Y75" s="1"/>
      <c r="Z75" s="1"/>
    </row>
    <row r="76" spans="2:26" ht="15.75" customHeight="1" x14ac:dyDescent="0.25">
      <c r="B76" s="2"/>
      <c r="E76" s="4"/>
      <c r="F76" s="4"/>
      <c r="G76" s="4"/>
      <c r="H76" s="2"/>
      <c r="I76" s="4"/>
      <c r="L76" s="4"/>
      <c r="M76" s="1"/>
      <c r="N76" s="1"/>
      <c r="O76" s="4"/>
      <c r="P76" s="1"/>
      <c r="Q76" s="1"/>
      <c r="R76" s="4"/>
      <c r="S76" s="1"/>
      <c r="T76" s="1"/>
      <c r="U76" s="4"/>
      <c r="V76" s="1"/>
      <c r="W76" s="1"/>
      <c r="X76" s="4"/>
      <c r="Y76" s="1"/>
      <c r="Z76" s="1"/>
    </row>
    <row r="77" spans="2:26" ht="15.75" customHeight="1" x14ac:dyDescent="0.25">
      <c r="B77" s="2"/>
      <c r="E77" s="4"/>
      <c r="F77" s="4"/>
      <c r="G77" s="4"/>
      <c r="H77" s="2"/>
      <c r="I77" s="4"/>
      <c r="L77" s="4"/>
      <c r="M77" s="1"/>
      <c r="N77" s="1"/>
      <c r="O77" s="4"/>
      <c r="P77" s="1"/>
      <c r="Q77" s="1"/>
      <c r="R77" s="4"/>
      <c r="S77" s="1"/>
      <c r="T77" s="1"/>
      <c r="U77" s="4"/>
      <c r="V77" s="1"/>
      <c r="W77" s="1"/>
      <c r="X77" s="4"/>
      <c r="Y77" s="1"/>
      <c r="Z77" s="1"/>
    </row>
    <row r="78" spans="2:26" ht="15.75" customHeight="1" x14ac:dyDescent="0.25">
      <c r="B78" s="2"/>
      <c r="E78" s="4"/>
      <c r="F78" s="4"/>
      <c r="G78" s="4"/>
      <c r="H78" s="2"/>
      <c r="I78" s="4"/>
      <c r="L78" s="4"/>
      <c r="M78" s="1"/>
      <c r="N78" s="1"/>
      <c r="O78" s="4"/>
      <c r="P78" s="1"/>
      <c r="Q78" s="1"/>
      <c r="R78" s="4"/>
      <c r="S78" s="1"/>
      <c r="T78" s="1"/>
      <c r="U78" s="4"/>
      <c r="V78" s="1"/>
      <c r="W78" s="1"/>
      <c r="X78" s="4"/>
      <c r="Y78" s="1"/>
      <c r="Z78" s="1"/>
    </row>
    <row r="79" spans="2:26" ht="15.75" customHeight="1" x14ac:dyDescent="0.25">
      <c r="B79" s="2"/>
      <c r="E79" s="4"/>
      <c r="F79" s="4"/>
      <c r="G79" s="4"/>
      <c r="H79" s="2"/>
      <c r="I79" s="4"/>
      <c r="L79" s="4"/>
      <c r="M79" s="1"/>
      <c r="N79" s="1"/>
      <c r="O79" s="4"/>
      <c r="P79" s="1"/>
      <c r="Q79" s="1"/>
      <c r="R79" s="4"/>
      <c r="S79" s="1"/>
      <c r="T79" s="1"/>
      <c r="U79" s="4"/>
      <c r="V79" s="1"/>
      <c r="W79" s="1"/>
      <c r="X79" s="4"/>
      <c r="Y79" s="1"/>
      <c r="Z79" s="1"/>
    </row>
    <row r="80" spans="2:26" ht="15.75" customHeight="1" x14ac:dyDescent="0.25">
      <c r="B80" s="2"/>
      <c r="E80" s="4"/>
      <c r="F80" s="4"/>
      <c r="G80" s="4"/>
      <c r="H80" s="2"/>
      <c r="I80" s="4"/>
      <c r="L80" s="4"/>
      <c r="M80" s="1"/>
      <c r="N80" s="1"/>
      <c r="O80" s="4"/>
      <c r="P80" s="1"/>
      <c r="Q80" s="1"/>
      <c r="R80" s="4"/>
      <c r="S80" s="1"/>
      <c r="T80" s="1"/>
      <c r="U80" s="4"/>
      <c r="V80" s="1"/>
      <c r="W80" s="1"/>
      <c r="X80" s="4"/>
      <c r="Y80" s="1"/>
      <c r="Z80" s="1"/>
    </row>
    <row r="81" spans="2:26" ht="15.75" customHeight="1" x14ac:dyDescent="0.25">
      <c r="B81" s="2"/>
      <c r="E81" s="4"/>
      <c r="F81" s="4"/>
      <c r="G81" s="4"/>
      <c r="H81" s="2"/>
      <c r="I81" s="4"/>
      <c r="L81" s="4"/>
      <c r="M81" s="1"/>
      <c r="N81" s="1"/>
      <c r="O81" s="4"/>
      <c r="P81" s="1"/>
      <c r="Q81" s="1"/>
      <c r="R81" s="4"/>
      <c r="S81" s="1"/>
      <c r="T81" s="1"/>
      <c r="U81" s="4"/>
      <c r="V81" s="1"/>
      <c r="W81" s="1"/>
      <c r="X81" s="4"/>
      <c r="Y81" s="1"/>
      <c r="Z81" s="1"/>
    </row>
    <row r="82" spans="2:26" ht="15.75" customHeight="1" x14ac:dyDescent="0.25">
      <c r="B82" s="2"/>
      <c r="E82" s="4"/>
      <c r="F82" s="4"/>
      <c r="G82" s="4"/>
      <c r="H82" s="2"/>
      <c r="I82" s="4"/>
      <c r="L82" s="4"/>
      <c r="M82" s="1"/>
      <c r="N82" s="1"/>
      <c r="O82" s="4"/>
      <c r="P82" s="1"/>
      <c r="Q82" s="1"/>
      <c r="R82" s="4"/>
      <c r="S82" s="1"/>
      <c r="T82" s="1"/>
      <c r="U82" s="4"/>
      <c r="V82" s="1"/>
      <c r="W82" s="1"/>
      <c r="X82" s="4"/>
      <c r="Y82" s="1"/>
      <c r="Z82" s="1"/>
    </row>
    <row r="83" spans="2:26" ht="15.75" customHeight="1" x14ac:dyDescent="0.25">
      <c r="B83" s="2"/>
      <c r="E83" s="4"/>
      <c r="F83" s="4"/>
      <c r="G83" s="4"/>
      <c r="H83" s="2"/>
      <c r="I83" s="4"/>
      <c r="L83" s="4"/>
      <c r="M83" s="1"/>
      <c r="N83" s="1"/>
      <c r="O83" s="4"/>
      <c r="P83" s="1"/>
      <c r="Q83" s="1"/>
      <c r="R83" s="4"/>
      <c r="S83" s="1"/>
      <c r="T83" s="1"/>
      <c r="U83" s="4"/>
      <c r="V83" s="1"/>
      <c r="W83" s="1"/>
      <c r="X83" s="4"/>
      <c r="Y83" s="1"/>
      <c r="Z83" s="1"/>
    </row>
    <row r="84" spans="2:26" ht="15.75" customHeight="1" x14ac:dyDescent="0.25">
      <c r="B84" s="2"/>
      <c r="E84" s="4"/>
      <c r="F84" s="4"/>
      <c r="G84" s="4"/>
      <c r="H84" s="2"/>
      <c r="I84" s="4"/>
      <c r="L84" s="4"/>
      <c r="M84" s="1"/>
      <c r="N84" s="1"/>
      <c r="O84" s="4"/>
      <c r="P84" s="1"/>
      <c r="Q84" s="1"/>
      <c r="R84" s="4"/>
      <c r="S84" s="1"/>
      <c r="T84" s="1"/>
      <c r="U84" s="4"/>
      <c r="V84" s="1"/>
      <c r="W84" s="1"/>
      <c r="X84" s="4"/>
      <c r="Y84" s="1"/>
      <c r="Z84" s="1"/>
    </row>
    <row r="85" spans="2:26" ht="15.75" customHeight="1" x14ac:dyDescent="0.25">
      <c r="B85" s="2"/>
      <c r="E85" s="4"/>
      <c r="F85" s="4"/>
      <c r="G85" s="4"/>
      <c r="H85" s="2"/>
      <c r="I85" s="4"/>
      <c r="L85" s="4"/>
      <c r="M85" s="1"/>
      <c r="N85" s="1"/>
      <c r="O85" s="4"/>
      <c r="P85" s="1"/>
      <c r="Q85" s="1"/>
      <c r="R85" s="4"/>
      <c r="S85" s="1"/>
      <c r="T85" s="1"/>
      <c r="U85" s="4"/>
      <c r="V85" s="1"/>
      <c r="W85" s="1"/>
      <c r="X85" s="4"/>
      <c r="Y85" s="1"/>
      <c r="Z85" s="1"/>
    </row>
    <row r="86" spans="2:26" ht="15.75" customHeight="1" x14ac:dyDescent="0.25">
      <c r="B86" s="2"/>
      <c r="E86" s="4"/>
      <c r="F86" s="4"/>
      <c r="G86" s="4"/>
      <c r="H86" s="2"/>
      <c r="I86" s="4"/>
      <c r="L86" s="4"/>
      <c r="M86" s="1"/>
      <c r="N86" s="1"/>
      <c r="O86" s="4"/>
      <c r="P86" s="1"/>
      <c r="Q86" s="1"/>
      <c r="R86" s="4"/>
      <c r="S86" s="1"/>
      <c r="T86" s="1"/>
      <c r="U86" s="4"/>
      <c r="V86" s="1"/>
      <c r="W86" s="1"/>
      <c r="X86" s="4"/>
      <c r="Y86" s="1"/>
      <c r="Z86" s="1"/>
    </row>
    <row r="87" spans="2:26" ht="15.75" customHeight="1" x14ac:dyDescent="0.25">
      <c r="B87" s="2"/>
      <c r="E87" s="4"/>
      <c r="F87" s="4"/>
      <c r="G87" s="4"/>
      <c r="H87" s="2"/>
      <c r="I87" s="4"/>
      <c r="L87" s="4"/>
      <c r="M87" s="1"/>
      <c r="N87" s="1"/>
      <c r="O87" s="4"/>
      <c r="P87" s="1"/>
      <c r="Q87" s="1"/>
      <c r="R87" s="4"/>
      <c r="S87" s="1"/>
      <c r="T87" s="1"/>
      <c r="U87" s="4"/>
      <c r="V87" s="1"/>
      <c r="W87" s="1"/>
      <c r="X87" s="4"/>
      <c r="Y87" s="1"/>
      <c r="Z87" s="1"/>
    </row>
    <row r="88" spans="2:26" ht="15.75" customHeight="1" x14ac:dyDescent="0.25">
      <c r="B88" s="2"/>
      <c r="E88" s="4"/>
      <c r="F88" s="4"/>
      <c r="G88" s="4"/>
      <c r="H88" s="2"/>
      <c r="I88" s="4"/>
      <c r="L88" s="4"/>
      <c r="M88" s="1"/>
      <c r="N88" s="1"/>
      <c r="O88" s="4"/>
      <c r="P88" s="1"/>
      <c r="Q88" s="1"/>
      <c r="R88" s="4"/>
      <c r="S88" s="1"/>
      <c r="T88" s="1"/>
      <c r="U88" s="4"/>
      <c r="V88" s="1"/>
      <c r="W88" s="1"/>
      <c r="X88" s="4"/>
      <c r="Y88" s="1"/>
      <c r="Z88" s="1"/>
    </row>
    <row r="89" spans="2:26" ht="15.75" customHeight="1" x14ac:dyDescent="0.25">
      <c r="B89" s="2"/>
      <c r="E89" s="4"/>
      <c r="F89" s="4"/>
      <c r="G89" s="4"/>
      <c r="H89" s="2"/>
      <c r="I89" s="4"/>
      <c r="L89" s="4"/>
      <c r="M89" s="1"/>
      <c r="N89" s="1"/>
      <c r="O89" s="4"/>
      <c r="P89" s="1"/>
      <c r="Q89" s="1"/>
      <c r="R89" s="4"/>
      <c r="S89" s="1"/>
      <c r="T89" s="1"/>
      <c r="U89" s="4"/>
      <c r="V89" s="1"/>
      <c r="W89" s="1"/>
      <c r="X89" s="4"/>
      <c r="Y89" s="1"/>
      <c r="Z89" s="1"/>
    </row>
    <row r="90" spans="2:26" ht="15.75" customHeight="1" x14ac:dyDescent="0.25">
      <c r="B90" s="2"/>
      <c r="E90" s="4"/>
      <c r="F90" s="4"/>
      <c r="G90" s="4"/>
      <c r="H90" s="2"/>
      <c r="I90" s="4"/>
      <c r="L90" s="4"/>
      <c r="M90" s="1"/>
      <c r="N90" s="1"/>
      <c r="O90" s="4"/>
      <c r="P90" s="1"/>
      <c r="Q90" s="1"/>
      <c r="R90" s="4"/>
      <c r="S90" s="1"/>
      <c r="T90" s="1"/>
      <c r="U90" s="4"/>
      <c r="V90" s="1"/>
      <c r="W90" s="1"/>
      <c r="X90" s="4"/>
      <c r="Y90" s="1"/>
      <c r="Z90" s="1"/>
    </row>
    <row r="91" spans="2:26" ht="15.75" customHeight="1" x14ac:dyDescent="0.25">
      <c r="B91" s="2"/>
      <c r="E91" s="4"/>
      <c r="F91" s="4"/>
      <c r="G91" s="4"/>
      <c r="H91" s="2"/>
      <c r="I91" s="4"/>
      <c r="L91" s="4"/>
      <c r="M91" s="1"/>
      <c r="N91" s="1"/>
      <c r="O91" s="4"/>
      <c r="P91" s="1"/>
      <c r="Q91" s="1"/>
      <c r="R91" s="4"/>
      <c r="S91" s="1"/>
      <c r="T91" s="1"/>
      <c r="U91" s="4"/>
      <c r="V91" s="1"/>
      <c r="W91" s="1"/>
      <c r="X91" s="4"/>
      <c r="Y91" s="1"/>
      <c r="Z91" s="1"/>
    </row>
    <row r="92" spans="2:26" ht="15.75" customHeight="1" x14ac:dyDescent="0.25">
      <c r="B92" s="2"/>
      <c r="E92" s="4"/>
      <c r="F92" s="4"/>
      <c r="G92" s="4"/>
      <c r="H92" s="2"/>
      <c r="I92" s="4"/>
      <c r="L92" s="4"/>
      <c r="M92" s="1"/>
      <c r="N92" s="1"/>
      <c r="O92" s="4"/>
      <c r="P92" s="1"/>
      <c r="Q92" s="1"/>
      <c r="R92" s="4"/>
      <c r="S92" s="1"/>
      <c r="T92" s="1"/>
      <c r="U92" s="4"/>
      <c r="V92" s="1"/>
      <c r="W92" s="1"/>
      <c r="X92" s="4"/>
      <c r="Y92" s="1"/>
      <c r="Z92" s="1"/>
    </row>
    <row r="93" spans="2:26" ht="15.75" customHeight="1" x14ac:dyDescent="0.25">
      <c r="B93" s="2"/>
      <c r="E93" s="4"/>
      <c r="F93" s="4"/>
      <c r="G93" s="4"/>
      <c r="H93" s="2"/>
      <c r="I93" s="4"/>
      <c r="L93" s="4"/>
      <c r="M93" s="1"/>
      <c r="N93" s="1"/>
      <c r="O93" s="4"/>
      <c r="P93" s="1"/>
      <c r="Q93" s="1"/>
      <c r="R93" s="4"/>
      <c r="S93" s="1"/>
      <c r="T93" s="1"/>
      <c r="U93" s="4"/>
      <c r="V93" s="1"/>
      <c r="W93" s="1"/>
      <c r="X93" s="4"/>
      <c r="Y93" s="1"/>
      <c r="Z93" s="1"/>
    </row>
    <row r="94" spans="2:26" ht="15.75" customHeight="1" x14ac:dyDescent="0.25">
      <c r="B94" s="2"/>
      <c r="E94" s="4"/>
      <c r="F94" s="4"/>
      <c r="G94" s="4"/>
      <c r="H94" s="2"/>
      <c r="I94" s="4"/>
      <c r="L94" s="4"/>
      <c r="M94" s="1"/>
      <c r="N94" s="1"/>
      <c r="O94" s="4"/>
      <c r="P94" s="1"/>
      <c r="Q94" s="1"/>
      <c r="R94" s="4"/>
      <c r="S94" s="1"/>
      <c r="T94" s="1"/>
      <c r="U94" s="4"/>
      <c r="V94" s="1"/>
      <c r="W94" s="1"/>
      <c r="X94" s="4"/>
      <c r="Y94" s="1"/>
      <c r="Z94" s="1"/>
    </row>
    <row r="95" spans="2:26" ht="15.75" customHeight="1" x14ac:dyDescent="0.25">
      <c r="B95" s="2"/>
      <c r="E95" s="4"/>
      <c r="F95" s="4"/>
      <c r="G95" s="4"/>
      <c r="H95" s="2"/>
      <c r="I95" s="4"/>
      <c r="L95" s="4"/>
      <c r="M95" s="1"/>
      <c r="N95" s="1"/>
      <c r="O95" s="4"/>
      <c r="P95" s="1"/>
      <c r="Q95" s="1"/>
      <c r="R95" s="4"/>
      <c r="S95" s="1"/>
      <c r="T95" s="1"/>
      <c r="U95" s="4"/>
      <c r="V95" s="1"/>
      <c r="W95" s="1"/>
      <c r="X95" s="4"/>
      <c r="Y95" s="1"/>
      <c r="Z95" s="1"/>
    </row>
    <row r="96" spans="2:26" ht="15.75" customHeight="1" x14ac:dyDescent="0.25">
      <c r="B96" s="2"/>
      <c r="E96" s="4"/>
      <c r="F96" s="4"/>
      <c r="G96" s="4"/>
      <c r="H96" s="2"/>
      <c r="I96" s="4"/>
      <c r="L96" s="4"/>
      <c r="M96" s="1"/>
      <c r="N96" s="1"/>
      <c r="O96" s="4"/>
      <c r="P96" s="1"/>
      <c r="Q96" s="1"/>
      <c r="R96" s="4"/>
      <c r="S96" s="1"/>
      <c r="T96" s="1"/>
      <c r="U96" s="4"/>
      <c r="V96" s="1"/>
      <c r="W96" s="1"/>
      <c r="X96" s="4"/>
      <c r="Y96" s="1"/>
      <c r="Z96" s="1"/>
    </row>
    <row r="97" spans="2:26" ht="15.75" customHeight="1" x14ac:dyDescent="0.25">
      <c r="B97" s="2"/>
      <c r="E97" s="4"/>
      <c r="F97" s="4"/>
      <c r="G97" s="4"/>
      <c r="H97" s="2"/>
      <c r="I97" s="4"/>
      <c r="L97" s="4"/>
      <c r="M97" s="1"/>
      <c r="N97" s="1"/>
      <c r="O97" s="4"/>
      <c r="P97" s="1"/>
      <c r="Q97" s="1"/>
      <c r="R97" s="4"/>
      <c r="S97" s="1"/>
      <c r="T97" s="1"/>
      <c r="U97" s="4"/>
      <c r="V97" s="1"/>
      <c r="W97" s="1"/>
      <c r="X97" s="4"/>
      <c r="Y97" s="1"/>
      <c r="Z97" s="1"/>
    </row>
    <row r="98" spans="2:26" ht="15.75" customHeight="1" x14ac:dyDescent="0.25">
      <c r="B98" s="2"/>
      <c r="E98" s="4"/>
      <c r="F98" s="4"/>
      <c r="G98" s="4"/>
      <c r="H98" s="2"/>
      <c r="I98" s="4"/>
      <c r="L98" s="4"/>
      <c r="M98" s="1"/>
      <c r="N98" s="1"/>
      <c r="O98" s="4"/>
      <c r="P98" s="1"/>
      <c r="Q98" s="1"/>
      <c r="R98" s="4"/>
      <c r="S98" s="1"/>
      <c r="T98" s="1"/>
      <c r="U98" s="4"/>
      <c r="V98" s="1"/>
      <c r="W98" s="1"/>
      <c r="X98" s="4"/>
      <c r="Y98" s="1"/>
      <c r="Z98" s="1"/>
    </row>
    <row r="99" spans="2:26" ht="15.75" customHeight="1" x14ac:dyDescent="0.25">
      <c r="B99" s="2"/>
      <c r="E99" s="4"/>
      <c r="F99" s="4"/>
      <c r="G99" s="4"/>
      <c r="H99" s="2"/>
      <c r="I99" s="4"/>
      <c r="L99" s="4"/>
      <c r="M99" s="1"/>
      <c r="N99" s="1"/>
      <c r="O99" s="4"/>
      <c r="P99" s="1"/>
      <c r="Q99" s="1"/>
      <c r="R99" s="4"/>
      <c r="S99" s="1"/>
      <c r="T99" s="1"/>
      <c r="U99" s="4"/>
      <c r="V99" s="1"/>
      <c r="W99" s="1"/>
      <c r="X99" s="4"/>
      <c r="Y99" s="1"/>
      <c r="Z99" s="1"/>
    </row>
    <row r="100" spans="2:26" ht="15.75" customHeight="1" x14ac:dyDescent="0.25">
      <c r="B100" s="2"/>
      <c r="E100" s="4"/>
      <c r="F100" s="4"/>
      <c r="G100" s="4"/>
      <c r="H100" s="2"/>
      <c r="I100" s="4"/>
      <c r="L100" s="4"/>
      <c r="M100" s="1"/>
      <c r="N100" s="1"/>
      <c r="O100" s="4"/>
      <c r="P100" s="1"/>
      <c r="Q100" s="1"/>
      <c r="R100" s="4"/>
      <c r="S100" s="1"/>
      <c r="T100" s="1"/>
      <c r="U100" s="4"/>
      <c r="V100" s="1"/>
      <c r="W100" s="1"/>
      <c r="X100" s="4"/>
      <c r="Y100" s="1"/>
      <c r="Z100" s="1"/>
    </row>
    <row r="101" spans="2:26" ht="15.75" customHeight="1" x14ac:dyDescent="0.25">
      <c r="B101" s="2"/>
      <c r="E101" s="4"/>
      <c r="F101" s="4"/>
      <c r="G101" s="4"/>
      <c r="H101" s="2"/>
      <c r="I101" s="4"/>
      <c r="L101" s="4"/>
      <c r="M101" s="1"/>
      <c r="N101" s="1"/>
      <c r="O101" s="4"/>
      <c r="P101" s="1"/>
      <c r="Q101" s="1"/>
      <c r="R101" s="4"/>
      <c r="S101" s="1"/>
      <c r="T101" s="1"/>
      <c r="U101" s="4"/>
      <c r="V101" s="1"/>
      <c r="W101" s="1"/>
      <c r="X101" s="4"/>
      <c r="Y101" s="1"/>
      <c r="Z101" s="1"/>
    </row>
    <row r="102" spans="2:26" ht="15.75" customHeight="1" x14ac:dyDescent="0.25">
      <c r="B102" s="2"/>
      <c r="E102" s="4"/>
      <c r="F102" s="4"/>
      <c r="G102" s="4"/>
      <c r="H102" s="2"/>
      <c r="I102" s="4"/>
      <c r="L102" s="4"/>
      <c r="M102" s="1"/>
      <c r="N102" s="1"/>
      <c r="O102" s="4"/>
      <c r="P102" s="1"/>
      <c r="Q102" s="1"/>
      <c r="R102" s="4"/>
      <c r="S102" s="1"/>
      <c r="T102" s="1"/>
      <c r="U102" s="4"/>
      <c r="V102" s="1"/>
      <c r="W102" s="1"/>
      <c r="X102" s="4"/>
      <c r="Y102" s="1"/>
      <c r="Z102" s="1"/>
    </row>
    <row r="103" spans="2:26" ht="15.75" customHeight="1" x14ac:dyDescent="0.25">
      <c r="B103" s="2"/>
      <c r="E103" s="4"/>
      <c r="F103" s="4"/>
      <c r="G103" s="4"/>
      <c r="H103" s="2"/>
      <c r="I103" s="4"/>
      <c r="L103" s="4"/>
      <c r="M103" s="1"/>
      <c r="N103" s="1"/>
      <c r="O103" s="4"/>
      <c r="P103" s="1"/>
      <c r="Q103" s="1"/>
      <c r="R103" s="4"/>
      <c r="S103" s="1"/>
      <c r="T103" s="1"/>
      <c r="U103" s="4"/>
      <c r="V103" s="1"/>
      <c r="W103" s="1"/>
      <c r="X103" s="4"/>
      <c r="Y103" s="1"/>
      <c r="Z103" s="1"/>
    </row>
    <row r="104" spans="2:26" ht="15.75" customHeight="1" x14ac:dyDescent="0.25">
      <c r="B104" s="2"/>
      <c r="E104" s="4"/>
      <c r="F104" s="4"/>
      <c r="G104" s="4"/>
      <c r="H104" s="2"/>
      <c r="I104" s="4"/>
      <c r="L104" s="4"/>
      <c r="M104" s="1"/>
      <c r="N104" s="1"/>
      <c r="O104" s="4"/>
      <c r="P104" s="1"/>
      <c r="Q104" s="1"/>
      <c r="R104" s="4"/>
      <c r="S104" s="1"/>
      <c r="T104" s="1"/>
      <c r="U104" s="4"/>
      <c r="V104" s="1"/>
      <c r="W104" s="1"/>
      <c r="X104" s="4"/>
      <c r="Y104" s="1"/>
      <c r="Z104" s="1"/>
    </row>
    <row r="105" spans="2:26" ht="15.75" customHeight="1" x14ac:dyDescent="0.25">
      <c r="B105" s="2"/>
      <c r="E105" s="4"/>
      <c r="F105" s="4"/>
      <c r="G105" s="4"/>
      <c r="H105" s="2"/>
      <c r="I105" s="4"/>
      <c r="L105" s="4"/>
      <c r="M105" s="1"/>
      <c r="N105" s="1"/>
      <c r="O105" s="4"/>
      <c r="P105" s="1"/>
      <c r="Q105" s="1"/>
      <c r="R105" s="4"/>
      <c r="S105" s="1"/>
      <c r="T105" s="1"/>
      <c r="U105" s="4"/>
      <c r="V105" s="1"/>
      <c r="W105" s="1"/>
      <c r="X105" s="4"/>
      <c r="Y105" s="1"/>
      <c r="Z105" s="1"/>
    </row>
    <row r="106" spans="2:26" ht="15.75" customHeight="1" x14ac:dyDescent="0.25">
      <c r="B106" s="2"/>
      <c r="E106" s="4"/>
      <c r="F106" s="4"/>
      <c r="G106" s="4"/>
      <c r="H106" s="2"/>
      <c r="I106" s="4"/>
      <c r="L106" s="4"/>
      <c r="M106" s="1"/>
      <c r="N106" s="1"/>
      <c r="O106" s="4"/>
      <c r="P106" s="1"/>
      <c r="Q106" s="1"/>
      <c r="R106" s="4"/>
      <c r="S106" s="1"/>
      <c r="T106" s="1"/>
      <c r="U106" s="4"/>
      <c r="V106" s="1"/>
      <c r="W106" s="1"/>
      <c r="X106" s="4"/>
      <c r="Y106" s="1"/>
      <c r="Z106" s="1"/>
    </row>
    <row r="107" spans="2:26" ht="15.75" customHeight="1" x14ac:dyDescent="0.25">
      <c r="B107" s="2"/>
      <c r="E107" s="4"/>
      <c r="F107" s="4"/>
      <c r="G107" s="4"/>
      <c r="H107" s="2"/>
      <c r="I107" s="4"/>
      <c r="L107" s="4"/>
      <c r="M107" s="1"/>
      <c r="N107" s="1"/>
      <c r="O107" s="4"/>
      <c r="P107" s="1"/>
      <c r="Q107" s="1"/>
      <c r="R107" s="4"/>
      <c r="S107" s="1"/>
      <c r="T107" s="1"/>
      <c r="U107" s="4"/>
      <c r="V107" s="1"/>
      <c r="W107" s="1"/>
      <c r="X107" s="4"/>
      <c r="Y107" s="1"/>
      <c r="Z107" s="1"/>
    </row>
    <row r="108" spans="2:26" ht="15.75" customHeight="1" x14ac:dyDescent="0.2"/>
    <row r="109" spans="2:26" ht="15.75" customHeight="1" x14ac:dyDescent="0.2"/>
    <row r="110" spans="2:26" ht="15.75" customHeight="1" x14ac:dyDescent="0.2"/>
    <row r="111" spans="2:26" ht="15.75" customHeight="1" x14ac:dyDescent="0.2"/>
    <row r="112" spans="2:2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</sheetData>
  <mergeCells count="30">
    <mergeCell ref="A47:A48"/>
    <mergeCell ref="B47:B48"/>
    <mergeCell ref="C47:C48"/>
    <mergeCell ref="E47:E48"/>
    <mergeCell ref="F47:F48"/>
    <mergeCell ref="G47:G48"/>
    <mergeCell ref="A38:A39"/>
    <mergeCell ref="B38:B39"/>
    <mergeCell ref="C38:C39"/>
    <mergeCell ref="E38:E39"/>
    <mergeCell ref="F38:F39"/>
    <mergeCell ref="G38:G39"/>
    <mergeCell ref="A20:A21"/>
    <mergeCell ref="B20:B21"/>
    <mergeCell ref="C20:C21"/>
    <mergeCell ref="E20:E21"/>
    <mergeCell ref="F20:F21"/>
    <mergeCell ref="G20:G21"/>
    <mergeCell ref="A12:A13"/>
    <mergeCell ref="B12:B13"/>
    <mergeCell ref="C12:C13"/>
    <mergeCell ref="E12:E13"/>
    <mergeCell ref="F12:F13"/>
    <mergeCell ref="G12:G13"/>
    <mergeCell ref="A3:A4"/>
    <mergeCell ref="B3:B4"/>
    <mergeCell ref="C3:C4"/>
    <mergeCell ref="E3:E4"/>
    <mergeCell ref="F3:F4"/>
    <mergeCell ref="G3:G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2026-05-06T06:31:42Z</dcterms:created>
  <dcterms:modified xsi:type="dcterms:W3CDTF">2026-05-06T06:34:44Z</dcterms:modified>
</cp:coreProperties>
</file>